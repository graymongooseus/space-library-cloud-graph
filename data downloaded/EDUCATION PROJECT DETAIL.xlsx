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:\My Drive\Cloud diagram\data downloaded\"/>
    </mc:Choice>
  </mc:AlternateContent>
  <xr:revisionPtr revIDLastSave="0" documentId="8_{A073D8CE-D6BB-4B5D-8CCF-30523AB33C1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校舍规模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1" l="1"/>
  <c r="N33" i="1"/>
  <c r="M33" i="1"/>
  <c r="R44" i="1"/>
  <c r="Q44" i="1"/>
  <c r="P44" i="1"/>
  <c r="J44" i="1"/>
  <c r="I44" i="1"/>
  <c r="H44" i="1"/>
  <c r="G44" i="1"/>
  <c r="F44" i="1"/>
  <c r="E44" i="1"/>
  <c r="D44" i="1"/>
  <c r="C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O44" i="1" l="1"/>
  <c r="N44" i="1"/>
  <c r="M44" i="1"/>
  <c r="L44" i="1"/>
  <c r="K44" i="1"/>
</calcChain>
</file>

<file path=xl/sharedStrings.xml><?xml version="1.0" encoding="utf-8"?>
<sst xmlns="http://schemas.openxmlformats.org/spreadsheetml/2006/main" count="121" uniqueCount="71">
  <si>
    <t>建筑指标</t>
  </si>
  <si>
    <t>南京威雅</t>
  </si>
  <si>
    <t>淀山湖威雅</t>
  </si>
  <si>
    <t>成都威雅</t>
  </si>
  <si>
    <t>金茂宝山双语学校(小学部）</t>
  </si>
  <si>
    <t>三亚海棠弯阿丁莱</t>
  </si>
  <si>
    <t>中山阿丁莱</t>
  </si>
  <si>
    <t>莫德林学校</t>
  </si>
  <si>
    <t>上海莱克顿-高中</t>
  </si>
  <si>
    <t>山峰天津</t>
  </si>
  <si>
    <t>山峰上海</t>
  </si>
  <si>
    <t>卓越深圳</t>
  </si>
  <si>
    <t>金华江南中学</t>
  </si>
  <si>
    <t>育才三中</t>
  </si>
  <si>
    <t>深圳海岸学校</t>
  </si>
  <si>
    <t>深圳第二十八中学</t>
  </si>
  <si>
    <t>北外广州校区</t>
  </si>
  <si>
    <t>深圳三十二高级中学</t>
  </si>
  <si>
    <t>深圳怡翠实验学校</t>
  </si>
  <si>
    <t>重庆十方界中学</t>
  </si>
  <si>
    <t>前湾十单元九年一贯制学校项目</t>
  </si>
  <si>
    <t>西部重庆科学城
金凤学校</t>
  </si>
  <si>
    <t>重庆科学城
含谷学校</t>
  </si>
  <si>
    <t>重庆市八中科学城
中学校</t>
  </si>
  <si>
    <t>重庆科学城
含谷初中</t>
  </si>
  <si>
    <t>校园总用地面积</t>
  </si>
  <si>
    <t>校舍总建筑面积</t>
  </si>
  <si>
    <t>地上建筑面积</t>
  </si>
  <si>
    <t>其中</t>
  </si>
  <si>
    <t>幼儿园</t>
  </si>
  <si>
    <t>教学及办公建筑</t>
  </si>
  <si>
    <t>学生宿舍</t>
  </si>
  <si>
    <t>体育建筑</t>
  </si>
  <si>
    <t>N/A</t>
  </si>
  <si>
    <t>生活配套</t>
  </si>
  <si>
    <t>职工宿舍</t>
  </si>
  <si>
    <t>其他</t>
  </si>
  <si>
    <t>地下建筑面积</t>
  </si>
  <si>
    <t>停车配建数量</t>
  </si>
  <si>
    <t>PRE-K 幼儿园户外活动场地</t>
  </si>
  <si>
    <t>K-12 室外活动场地面积</t>
  </si>
  <si>
    <t>建筑基底面积</t>
  </si>
  <si>
    <t>容积率</t>
  </si>
  <si>
    <t>建筑密度</t>
  </si>
  <si>
    <t>绿地率</t>
  </si>
  <si>
    <t>绿地面积</t>
  </si>
  <si>
    <t>机动车停车位</t>
  </si>
  <si>
    <t>地上</t>
  </si>
  <si>
    <t>地下</t>
  </si>
  <si>
    <t>地下停车标准</t>
  </si>
  <si>
    <t>40m2/辆</t>
  </si>
  <si>
    <t>人员数量</t>
  </si>
  <si>
    <t>教职工人数</t>
  </si>
  <si>
    <t>在校学生总数</t>
  </si>
  <si>
    <t>幼儿园 PreK-K</t>
  </si>
  <si>
    <t>小学 K1-6</t>
  </si>
  <si>
    <t>初中 K7-9</t>
  </si>
  <si>
    <t>高中 K10-12</t>
  </si>
  <si>
    <t>住宿学生总数</t>
  </si>
  <si>
    <t>小学 K1-5</t>
  </si>
  <si>
    <t>初中 K6-9</t>
  </si>
  <si>
    <t>住宿比例</t>
  </si>
  <si>
    <t>小学住宿比例</t>
  </si>
  <si>
    <t>初中住宿比例</t>
  </si>
  <si>
    <t>高中住宿比例</t>
  </si>
  <si>
    <t>生均校舍建筑面积(不含宿舍）</t>
  </si>
  <si>
    <t>生均教学用房面积</t>
  </si>
  <si>
    <t>生均用地面积</t>
  </si>
  <si>
    <t>生均住宿面积</t>
  </si>
  <si>
    <t>国际学校</t>
    <phoneticPr fontId="7" type="noConversion"/>
  </si>
  <si>
    <t>公办学校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</si>
</sst>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##&quot; m2&quot;"/>
    <numFmt numFmtId="177" formatCode="###&quot; m2&quot;"/>
    <numFmt numFmtId="178" formatCode="0.0%"/>
    <numFmt numFmtId="179" formatCode="#0&quot; 人&quot;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0"/>
      <name val="Arial"/>
    </font>
    <font>
      <sz val="11"/>
      <color rgb="FFC55A11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sz val="9"/>
      <name val="Arial"/>
      <family val="3"/>
      <charset val="134"/>
      <scheme val="minor"/>
    </font>
    <font>
      <b/>
      <sz val="10"/>
      <color theme="1"/>
      <name val="微软雅黑"/>
      <family val="2"/>
      <charset val="134"/>
    </font>
    <font>
      <b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EF2CB"/>
        <bgColor rgb="FFFEF2CB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  <fill>
      <patternFill patternType="solid">
        <fgColor rgb="FFFFD965"/>
        <bgColor rgb="FFFFD965"/>
      </patternFill>
    </fill>
    <fill>
      <patternFill patternType="solid">
        <fgColor rgb="FFFFE599"/>
        <bgColor rgb="FFFFE599"/>
      </patternFill>
    </fill>
    <fill>
      <patternFill patternType="solid">
        <fgColor rgb="FFF7AC00"/>
        <bgColor rgb="FFF7AC00"/>
      </patternFill>
    </fill>
    <fill>
      <patternFill patternType="solid">
        <fgColor rgb="FFFFE598"/>
        <bgColor rgb="FFFFE598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76" fontId="2" fillId="4" borderId="7" xfId="0" applyNumberFormat="1" applyFont="1" applyFill="1" applyBorder="1" applyAlignment="1">
      <alignment horizontal="right" vertical="center"/>
    </xf>
    <xf numFmtId="176" fontId="4" fillId="4" borderId="7" xfId="0" applyNumberFormat="1" applyFont="1" applyFill="1" applyBorder="1" applyAlignment="1">
      <alignment horizontal="right" vertical="center"/>
    </xf>
    <xf numFmtId="176" fontId="2" fillId="4" borderId="8" xfId="0" applyNumberFormat="1" applyFont="1" applyFill="1" applyBorder="1" applyAlignment="1">
      <alignment horizontal="right" vertical="center"/>
    </xf>
    <xf numFmtId="176" fontId="2" fillId="4" borderId="11" xfId="0" applyNumberFormat="1" applyFont="1" applyFill="1" applyBorder="1" applyAlignment="1">
      <alignment horizontal="right" vertical="center"/>
    </xf>
    <xf numFmtId="176" fontId="4" fillId="4" borderId="11" xfId="0" applyNumberFormat="1" applyFont="1" applyFill="1" applyBorder="1" applyAlignment="1">
      <alignment horizontal="right" vertical="center"/>
    </xf>
    <xf numFmtId="176" fontId="5" fillId="4" borderId="11" xfId="0" applyNumberFormat="1" applyFont="1" applyFill="1" applyBorder="1"/>
    <xf numFmtId="176" fontId="2" fillId="5" borderId="11" xfId="0" applyNumberFormat="1" applyFont="1" applyFill="1" applyBorder="1" applyAlignment="1">
      <alignment horizontal="right" vertical="center"/>
    </xf>
    <xf numFmtId="176" fontId="4" fillId="5" borderId="11" xfId="0" applyNumberFormat="1" applyFont="1" applyFill="1" applyBorder="1" applyAlignment="1">
      <alignment horizontal="right" vertical="center"/>
    </xf>
    <xf numFmtId="0" fontId="2" fillId="0" borderId="11" xfId="0" applyFont="1" applyBorder="1" applyAlignment="1">
      <alignment vertical="center"/>
    </xf>
    <xf numFmtId="176" fontId="2" fillId="0" borderId="11" xfId="0" applyNumberFormat="1" applyFont="1" applyBorder="1" applyAlignment="1">
      <alignment horizontal="right" vertical="center"/>
    </xf>
    <xf numFmtId="176" fontId="4" fillId="0" borderId="11" xfId="0" applyNumberFormat="1" applyFont="1" applyBorder="1" applyAlignment="1">
      <alignment horizontal="right" vertical="center"/>
    </xf>
    <xf numFmtId="176" fontId="2" fillId="3" borderId="11" xfId="0" applyNumberFormat="1" applyFont="1" applyFill="1" applyBorder="1" applyAlignment="1">
      <alignment horizontal="right" vertical="center"/>
    </xf>
    <xf numFmtId="177" fontId="4" fillId="0" borderId="11" xfId="0" applyNumberFormat="1" applyFont="1" applyBorder="1" applyAlignment="1">
      <alignment horizontal="right" vertical="center"/>
    </xf>
    <xf numFmtId="0" fontId="5" fillId="3" borderId="11" xfId="0" applyFont="1" applyFill="1" applyBorder="1"/>
    <xf numFmtId="177" fontId="4" fillId="5" borderId="11" xfId="0" applyNumberFormat="1" applyFont="1" applyFill="1" applyBorder="1" applyAlignment="1">
      <alignment horizontal="right" vertical="center"/>
    </xf>
    <xf numFmtId="0" fontId="5" fillId="5" borderId="11" xfId="0" applyFont="1" applyFill="1" applyBorder="1"/>
    <xf numFmtId="0" fontId="2" fillId="0" borderId="11" xfId="0" applyFont="1" applyBorder="1" applyAlignment="1">
      <alignment horizontal="right" vertical="center"/>
    </xf>
    <xf numFmtId="9" fontId="2" fillId="0" borderId="11" xfId="0" applyNumberFormat="1" applyFont="1" applyBorder="1" applyAlignment="1">
      <alignment horizontal="right" vertical="center"/>
    </xf>
    <xf numFmtId="2" fontId="2" fillId="6" borderId="11" xfId="0" applyNumberFormat="1" applyFont="1" applyFill="1" applyBorder="1" applyAlignment="1">
      <alignment horizontal="right" vertical="center"/>
    </xf>
    <xf numFmtId="0" fontId="2" fillId="6" borderId="11" xfId="0" applyFont="1" applyFill="1" applyBorder="1" applyAlignment="1">
      <alignment horizontal="right" vertical="center"/>
    </xf>
    <xf numFmtId="178" fontId="2" fillId="0" borderId="11" xfId="0" applyNumberFormat="1" applyFont="1" applyBorder="1" applyAlignment="1">
      <alignment horizontal="right" vertical="center"/>
    </xf>
    <xf numFmtId="10" fontId="2" fillId="0" borderId="11" xfId="0" applyNumberFormat="1" applyFont="1" applyBorder="1" applyAlignment="1">
      <alignment horizontal="right" vertical="center"/>
    </xf>
    <xf numFmtId="10" fontId="2" fillId="3" borderId="11" xfId="0" applyNumberFormat="1" applyFont="1" applyFill="1" applyBorder="1" applyAlignment="1">
      <alignment horizontal="right" vertical="center"/>
    </xf>
    <xf numFmtId="0" fontId="5" fillId="3" borderId="15" xfId="0" applyFont="1" applyFill="1" applyBorder="1"/>
    <xf numFmtId="0" fontId="5" fillId="0" borderId="11" xfId="0" applyFont="1" applyBorder="1"/>
    <xf numFmtId="9" fontId="5" fillId="0" borderId="11" xfId="0" applyNumberFormat="1" applyFont="1" applyBorder="1"/>
    <xf numFmtId="10" fontId="5" fillId="3" borderId="11" xfId="0" applyNumberFormat="1" applyFont="1" applyFill="1" applyBorder="1"/>
    <xf numFmtId="9" fontId="5" fillId="3" borderId="11" xfId="0" applyNumberFormat="1" applyFont="1" applyFill="1" applyBorder="1"/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7" xfId="0" applyFont="1" applyBorder="1" applyAlignment="1">
      <alignment horizontal="right" vertical="center"/>
    </xf>
    <xf numFmtId="0" fontId="5" fillId="0" borderId="17" xfId="0" applyFont="1" applyBorder="1"/>
    <xf numFmtId="0" fontId="5" fillId="3" borderId="17" xfId="0" applyFont="1" applyFill="1" applyBorder="1"/>
    <xf numFmtId="0" fontId="5" fillId="3" borderId="18" xfId="0" applyFont="1" applyFill="1" applyBorder="1"/>
    <xf numFmtId="179" fontId="2" fillId="3" borderId="23" xfId="0" applyNumberFormat="1" applyFont="1" applyFill="1" applyBorder="1" applyAlignment="1">
      <alignment horizontal="right" vertical="center"/>
    </xf>
    <xf numFmtId="179" fontId="6" fillId="3" borderId="23" xfId="0" applyNumberFormat="1" applyFont="1" applyFill="1" applyBorder="1" applyAlignment="1">
      <alignment horizontal="right"/>
    </xf>
    <xf numFmtId="0" fontId="5" fillId="3" borderId="23" xfId="0" applyFont="1" applyFill="1" applyBorder="1"/>
    <xf numFmtId="179" fontId="2" fillId="8" borderId="11" xfId="0" applyNumberFormat="1" applyFont="1" applyFill="1" applyBorder="1" applyAlignment="1">
      <alignment horizontal="right" vertical="center"/>
    </xf>
    <xf numFmtId="179" fontId="6" fillId="8" borderId="11" xfId="0" applyNumberFormat="1" applyFont="1" applyFill="1" applyBorder="1" applyAlignment="1">
      <alignment horizontal="right"/>
    </xf>
    <xf numFmtId="0" fontId="2" fillId="3" borderId="11" xfId="0" applyFont="1" applyFill="1" applyBorder="1" applyAlignment="1">
      <alignment vertical="center"/>
    </xf>
    <xf numFmtId="179" fontId="2" fillId="9" borderId="11" xfId="0" applyNumberFormat="1" applyFont="1" applyFill="1" applyBorder="1" applyAlignment="1">
      <alignment horizontal="right" vertical="center"/>
    </xf>
    <xf numFmtId="179" fontId="2" fillId="3" borderId="11" xfId="0" applyNumberFormat="1" applyFont="1" applyFill="1" applyBorder="1" applyAlignment="1">
      <alignment horizontal="right" vertical="center"/>
    </xf>
    <xf numFmtId="179" fontId="6" fillId="9" borderId="11" xfId="0" applyNumberFormat="1" applyFont="1" applyFill="1" applyBorder="1" applyAlignment="1">
      <alignment horizontal="right"/>
    </xf>
    <xf numFmtId="0" fontId="5" fillId="9" borderId="11" xfId="0" applyFont="1" applyFill="1" applyBorder="1"/>
    <xf numFmtId="179" fontId="4" fillId="8" borderId="11" xfId="0" applyNumberFormat="1" applyFont="1" applyFill="1" applyBorder="1" applyAlignment="1">
      <alignment horizontal="right" vertical="center"/>
    </xf>
    <xf numFmtId="179" fontId="4" fillId="3" borderId="11" xfId="0" applyNumberFormat="1" applyFont="1" applyFill="1" applyBorder="1" applyAlignment="1">
      <alignment horizontal="right" vertical="center"/>
    </xf>
    <xf numFmtId="9" fontId="2" fillId="10" borderId="11" xfId="0" applyNumberFormat="1" applyFont="1" applyFill="1" applyBorder="1" applyAlignment="1">
      <alignment horizontal="right" vertical="center"/>
    </xf>
    <xf numFmtId="9" fontId="4" fillId="10" borderId="11" xfId="0" applyNumberFormat="1" applyFont="1" applyFill="1" applyBorder="1" applyAlignment="1">
      <alignment horizontal="right" vertical="center"/>
    </xf>
    <xf numFmtId="9" fontId="6" fillId="10" borderId="11" xfId="0" applyNumberFormat="1" applyFont="1" applyFill="1" applyBorder="1" applyAlignment="1">
      <alignment horizontal="right"/>
    </xf>
    <xf numFmtId="9" fontId="2" fillId="3" borderId="11" xfId="0" applyNumberFormat="1" applyFont="1" applyFill="1" applyBorder="1" applyAlignment="1">
      <alignment horizontal="right" vertical="center"/>
    </xf>
    <xf numFmtId="9" fontId="4" fillId="3" borderId="11" xfId="0" applyNumberFormat="1" applyFont="1" applyFill="1" applyBorder="1" applyAlignment="1">
      <alignment horizontal="right" vertical="center"/>
    </xf>
    <xf numFmtId="0" fontId="2" fillId="3" borderId="17" xfId="0" applyFont="1" applyFill="1" applyBorder="1" applyAlignment="1">
      <alignment vertical="center"/>
    </xf>
    <xf numFmtId="9" fontId="2" fillId="3" borderId="17" xfId="0" applyNumberFormat="1" applyFont="1" applyFill="1" applyBorder="1" applyAlignment="1">
      <alignment horizontal="right" vertical="center"/>
    </xf>
    <xf numFmtId="9" fontId="4" fillId="3" borderId="17" xfId="0" applyNumberFormat="1" applyFont="1" applyFill="1" applyBorder="1" applyAlignment="1">
      <alignment horizontal="right" vertical="center"/>
    </xf>
    <xf numFmtId="0" fontId="5" fillId="0" borderId="0" xfId="0" applyFont="1"/>
    <xf numFmtId="0" fontId="2" fillId="0" borderId="9" xfId="0" applyFont="1" applyBorder="1" applyAlignment="1">
      <alignment vertical="center"/>
    </xf>
    <xf numFmtId="0" fontId="3" fillId="0" borderId="10" xfId="0" applyFont="1" applyBorder="1"/>
    <xf numFmtId="0" fontId="2" fillId="6" borderId="9" xfId="0" applyFont="1" applyFill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3" fillId="0" borderId="13" xfId="0" applyFont="1" applyBorder="1"/>
    <xf numFmtId="0" fontId="3" fillId="0" borderId="19" xfId="0" applyFont="1" applyBorder="1"/>
    <xf numFmtId="0" fontId="2" fillId="7" borderId="20" xfId="0" applyFont="1" applyFill="1" applyBorder="1" applyAlignment="1">
      <alignment vertical="center"/>
    </xf>
    <xf numFmtId="0" fontId="3" fillId="0" borderId="21" xfId="0" applyFont="1" applyBorder="1"/>
    <xf numFmtId="0" fontId="3" fillId="0" borderId="22" xfId="0" applyFont="1" applyBorder="1"/>
    <xf numFmtId="0" fontId="2" fillId="3" borderId="5" xfId="0" applyFont="1" applyFill="1" applyBorder="1" applyAlignment="1">
      <alignment vertical="center"/>
    </xf>
    <xf numFmtId="0" fontId="3" fillId="0" borderId="23" xfId="0" applyFont="1" applyBorder="1"/>
    <xf numFmtId="0" fontId="2" fillId="8" borderId="9" xfId="0" applyFont="1" applyFill="1" applyBorder="1" applyAlignment="1">
      <alignment vertical="center"/>
    </xf>
    <xf numFmtId="0" fontId="2" fillId="3" borderId="12" xfId="0" applyFont="1" applyFill="1" applyBorder="1" applyAlignment="1">
      <alignment vertical="center"/>
    </xf>
    <xf numFmtId="0" fontId="3" fillId="0" borderId="14" xfId="0" applyFont="1" applyBorder="1"/>
    <xf numFmtId="0" fontId="2" fillId="10" borderId="9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3" fillId="0" borderId="6" xfId="0" applyFont="1" applyBorder="1"/>
    <xf numFmtId="0" fontId="2" fillId="4" borderId="9" xfId="0" applyFont="1" applyFill="1" applyBorder="1" applyAlignment="1">
      <alignment vertical="center"/>
    </xf>
    <xf numFmtId="0" fontId="2" fillId="5" borderId="9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4"/>
  <sheetViews>
    <sheetView tabSelected="1" topLeftCell="A3" workbookViewId="0">
      <selection activeCell="I47" sqref="I47"/>
    </sheetView>
  </sheetViews>
  <sheetFormatPr defaultColWidth="12.6640625" defaultRowHeight="15.75" customHeight="1" x14ac:dyDescent="0.25"/>
  <cols>
    <col min="1" max="1" width="13.6640625" customWidth="1"/>
    <col min="10" max="10" width="13.21875" customWidth="1"/>
  </cols>
  <sheetData>
    <row r="1" spans="1:26" ht="44.4" customHeight="1" thickBot="1" x14ac:dyDescent="0.3">
      <c r="A1" s="1"/>
      <c r="B1" s="2"/>
      <c r="C1" s="84" t="s">
        <v>69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6" t="s">
        <v>70</v>
      </c>
      <c r="T1" s="86"/>
      <c r="U1" s="86"/>
      <c r="V1" s="86"/>
      <c r="W1" s="86"/>
      <c r="X1" s="86"/>
      <c r="Y1" s="86"/>
      <c r="Z1" s="86"/>
    </row>
    <row r="2" spans="1:26" ht="40.200000000000003" thickBot="1" x14ac:dyDescent="0.3">
      <c r="A2" s="4"/>
      <c r="B2" s="5" t="s">
        <v>0</v>
      </c>
      <c r="C2" s="3" t="s">
        <v>1</v>
      </c>
      <c r="D2" s="3" t="s">
        <v>2</v>
      </c>
      <c r="E2" s="3" t="s">
        <v>3</v>
      </c>
      <c r="F2" s="2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7" t="s">
        <v>23</v>
      </c>
      <c r="Z2" s="8" t="s">
        <v>24</v>
      </c>
    </row>
    <row r="3" spans="1:26" ht="13.8" x14ac:dyDescent="0.25">
      <c r="A3" s="79" t="s">
        <v>25</v>
      </c>
      <c r="B3" s="80"/>
      <c r="C3" s="9">
        <v>82020</v>
      </c>
      <c r="D3" s="9">
        <v>65184</v>
      </c>
      <c r="E3" s="9">
        <v>76728</v>
      </c>
      <c r="F3" s="9">
        <v>26167</v>
      </c>
      <c r="G3" s="10">
        <v>58355</v>
      </c>
      <c r="H3" s="10">
        <v>64962</v>
      </c>
      <c r="I3" s="9">
        <v>6895</v>
      </c>
      <c r="J3" s="9">
        <v>13500</v>
      </c>
      <c r="K3" s="9">
        <v>62064</v>
      </c>
      <c r="L3" s="9">
        <v>52494</v>
      </c>
      <c r="M3" s="9">
        <v>34165</v>
      </c>
      <c r="N3" s="11">
        <v>78025.3</v>
      </c>
      <c r="O3" s="9">
        <v>22345</v>
      </c>
      <c r="P3" s="9">
        <v>26493.35</v>
      </c>
      <c r="Q3" s="9">
        <v>70030.81</v>
      </c>
      <c r="R3" s="9">
        <v>106349</v>
      </c>
      <c r="S3" s="9">
        <v>42057</v>
      </c>
      <c r="T3" s="9">
        <v>9002</v>
      </c>
      <c r="U3" s="9">
        <v>46100</v>
      </c>
      <c r="V3" s="9">
        <v>31300</v>
      </c>
      <c r="W3" s="9">
        <v>230234</v>
      </c>
      <c r="X3" s="9">
        <v>42057</v>
      </c>
      <c r="Y3" s="9">
        <v>126198</v>
      </c>
      <c r="Z3" s="9">
        <v>40970</v>
      </c>
    </row>
    <row r="4" spans="1:26" ht="13.8" x14ac:dyDescent="0.25">
      <c r="A4" s="81" t="s">
        <v>26</v>
      </c>
      <c r="B4" s="65"/>
      <c r="C4" s="12">
        <v>111943</v>
      </c>
      <c r="D4" s="12">
        <v>76707</v>
      </c>
      <c r="E4" s="12">
        <v>72494</v>
      </c>
      <c r="F4" s="12">
        <v>31904</v>
      </c>
      <c r="G4" s="13">
        <v>66455</v>
      </c>
      <c r="H4" s="13">
        <v>106192</v>
      </c>
      <c r="I4" s="12">
        <v>10500</v>
      </c>
      <c r="J4" s="12">
        <v>9500</v>
      </c>
      <c r="K4" s="12">
        <v>62614</v>
      </c>
      <c r="L4" s="12">
        <v>76980</v>
      </c>
      <c r="M4" s="12">
        <v>30751</v>
      </c>
      <c r="N4" s="12">
        <v>62308.58</v>
      </c>
      <c r="O4" s="12">
        <v>50697</v>
      </c>
      <c r="P4" s="12">
        <v>52767</v>
      </c>
      <c r="Q4" s="12">
        <v>138100</v>
      </c>
      <c r="R4" s="12">
        <v>137920</v>
      </c>
      <c r="S4" s="12">
        <v>90000</v>
      </c>
      <c r="T4" s="14">
        <v>30710</v>
      </c>
      <c r="U4" s="12">
        <v>62234</v>
      </c>
      <c r="V4" s="12">
        <v>109100</v>
      </c>
      <c r="W4" s="12">
        <v>293592</v>
      </c>
      <c r="X4" s="12">
        <v>229282</v>
      </c>
      <c r="Y4" s="12">
        <v>220379</v>
      </c>
      <c r="Z4" s="12">
        <v>93383</v>
      </c>
    </row>
    <row r="5" spans="1:26" ht="13.8" x14ac:dyDescent="0.25">
      <c r="A5" s="82" t="s">
        <v>27</v>
      </c>
      <c r="B5" s="65"/>
      <c r="C5" s="15">
        <v>98250</v>
      </c>
      <c r="D5" s="15">
        <v>68407</v>
      </c>
      <c r="E5" s="15"/>
      <c r="F5" s="15">
        <v>31401</v>
      </c>
      <c r="G5" s="16">
        <v>55700</v>
      </c>
      <c r="H5" s="16">
        <v>97443</v>
      </c>
      <c r="I5" s="15">
        <v>10500</v>
      </c>
      <c r="J5" s="15">
        <v>9500</v>
      </c>
      <c r="K5" s="15">
        <v>62614</v>
      </c>
      <c r="L5" s="15">
        <v>76980</v>
      </c>
      <c r="M5" s="15"/>
      <c r="N5" s="15">
        <v>62308.58</v>
      </c>
      <c r="O5" s="15">
        <v>34097</v>
      </c>
      <c r="P5" s="15">
        <v>32107</v>
      </c>
      <c r="Q5" s="15">
        <v>126400</v>
      </c>
      <c r="R5" s="15">
        <v>114800</v>
      </c>
      <c r="S5" s="15">
        <v>79343</v>
      </c>
      <c r="T5" s="15">
        <v>25710</v>
      </c>
      <c r="U5" s="15">
        <v>42980</v>
      </c>
      <c r="V5" s="15">
        <v>89100</v>
      </c>
      <c r="W5" s="15">
        <v>253592</v>
      </c>
      <c r="X5" s="15">
        <v>198762</v>
      </c>
      <c r="Y5" s="15">
        <v>188379</v>
      </c>
      <c r="Z5" s="15">
        <v>80983</v>
      </c>
    </row>
    <row r="6" spans="1:26" ht="13.8" x14ac:dyDescent="0.25">
      <c r="A6" s="67" t="s">
        <v>28</v>
      </c>
      <c r="B6" s="17" t="s">
        <v>29</v>
      </c>
      <c r="C6" s="18">
        <v>8750</v>
      </c>
      <c r="D6" s="18">
        <v>7850</v>
      </c>
      <c r="E6" s="18">
        <v>0</v>
      </c>
      <c r="F6" s="18">
        <v>0</v>
      </c>
      <c r="G6" s="19">
        <v>0</v>
      </c>
      <c r="H6" s="19">
        <v>8063</v>
      </c>
      <c r="I6" s="18">
        <v>0</v>
      </c>
      <c r="J6" s="18">
        <v>0</v>
      </c>
      <c r="K6" s="18">
        <v>0</v>
      </c>
      <c r="L6" s="18">
        <v>0</v>
      </c>
      <c r="M6" s="18">
        <v>3000</v>
      </c>
      <c r="N6" s="18">
        <v>0</v>
      </c>
      <c r="O6" s="18">
        <v>0</v>
      </c>
      <c r="P6" s="18">
        <v>0</v>
      </c>
      <c r="Q6" s="18">
        <v>0</v>
      </c>
      <c r="R6" s="18">
        <v>6500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5307</v>
      </c>
      <c r="Y6" s="20">
        <v>0</v>
      </c>
      <c r="Z6" s="20">
        <v>0</v>
      </c>
    </row>
    <row r="7" spans="1:26" ht="13.8" x14ac:dyDescent="0.25">
      <c r="A7" s="68"/>
      <c r="B7" s="17" t="s">
        <v>30</v>
      </c>
      <c r="C7" s="18">
        <v>41031</v>
      </c>
      <c r="D7" s="18">
        <v>31999</v>
      </c>
      <c r="E7" s="18">
        <v>44487</v>
      </c>
      <c r="F7" s="18"/>
      <c r="G7" s="19">
        <v>26500</v>
      </c>
      <c r="H7" s="19">
        <v>42232</v>
      </c>
      <c r="I7" s="18">
        <v>5000</v>
      </c>
      <c r="J7" s="18"/>
      <c r="K7" s="18">
        <v>44914</v>
      </c>
      <c r="L7" s="18">
        <v>54220</v>
      </c>
      <c r="M7" s="18">
        <v>22907</v>
      </c>
      <c r="N7" s="18">
        <v>22247</v>
      </c>
      <c r="O7" s="18">
        <v>24789</v>
      </c>
      <c r="P7" s="18">
        <v>25380</v>
      </c>
      <c r="Q7" s="18">
        <v>37542</v>
      </c>
      <c r="R7" s="18">
        <v>47600</v>
      </c>
      <c r="S7" s="20">
        <v>31419</v>
      </c>
      <c r="T7" s="20">
        <v>18799</v>
      </c>
      <c r="U7" s="20">
        <v>37411</v>
      </c>
      <c r="V7" s="20">
        <v>22558</v>
      </c>
      <c r="W7" s="20">
        <v>138739</v>
      </c>
      <c r="X7" s="20">
        <v>95562</v>
      </c>
      <c r="Y7" s="20">
        <v>83622</v>
      </c>
      <c r="Z7" s="20">
        <v>37248</v>
      </c>
    </row>
    <row r="8" spans="1:26" ht="13.8" x14ac:dyDescent="0.25">
      <c r="A8" s="68"/>
      <c r="B8" s="17" t="s">
        <v>31</v>
      </c>
      <c r="C8" s="18">
        <v>30708</v>
      </c>
      <c r="D8" s="18">
        <v>20458</v>
      </c>
      <c r="E8" s="18">
        <v>20007</v>
      </c>
      <c r="F8" s="18">
        <v>0</v>
      </c>
      <c r="G8" s="19">
        <v>19000</v>
      </c>
      <c r="H8" s="19">
        <v>29104</v>
      </c>
      <c r="I8" s="18">
        <v>3800</v>
      </c>
      <c r="J8" s="18"/>
      <c r="K8" s="18">
        <v>0</v>
      </c>
      <c r="L8" s="18">
        <v>14720</v>
      </c>
      <c r="M8" s="18">
        <v>10287</v>
      </c>
      <c r="N8" s="18">
        <v>19160</v>
      </c>
      <c r="O8" s="18">
        <v>0</v>
      </c>
      <c r="P8" s="18">
        <v>0</v>
      </c>
      <c r="Q8" s="18">
        <v>38600</v>
      </c>
      <c r="R8" s="18">
        <v>30000</v>
      </c>
      <c r="S8" s="20">
        <v>24615</v>
      </c>
      <c r="T8" s="20">
        <v>0</v>
      </c>
      <c r="U8" s="20">
        <v>0</v>
      </c>
      <c r="V8" s="20">
        <v>0</v>
      </c>
      <c r="W8" s="20">
        <v>74933</v>
      </c>
      <c r="X8" s="20">
        <v>27053</v>
      </c>
      <c r="Y8" s="20">
        <v>45415</v>
      </c>
      <c r="Z8" s="20">
        <v>17723</v>
      </c>
    </row>
    <row r="9" spans="1:26" ht="13.8" x14ac:dyDescent="0.25">
      <c r="A9" s="68"/>
      <c r="B9" s="17" t="s">
        <v>32</v>
      </c>
      <c r="C9" s="18">
        <v>8509</v>
      </c>
      <c r="D9" s="18">
        <v>3780</v>
      </c>
      <c r="E9" s="18">
        <v>8000</v>
      </c>
      <c r="F9" s="18"/>
      <c r="G9" s="19">
        <v>6000</v>
      </c>
      <c r="H9" s="19">
        <v>7631</v>
      </c>
      <c r="I9" s="18">
        <v>160</v>
      </c>
      <c r="J9" s="18"/>
      <c r="K9" s="18">
        <v>7900</v>
      </c>
      <c r="L9" s="18">
        <v>5760</v>
      </c>
      <c r="M9" s="18" t="s">
        <v>33</v>
      </c>
      <c r="N9" s="18">
        <v>3820</v>
      </c>
      <c r="O9" s="18">
        <v>3466</v>
      </c>
      <c r="P9" s="18">
        <v>4000</v>
      </c>
      <c r="Q9" s="18">
        <v>5158</v>
      </c>
      <c r="R9" s="18">
        <v>17000</v>
      </c>
      <c r="S9" s="20">
        <v>2700</v>
      </c>
      <c r="T9" s="20">
        <v>1360</v>
      </c>
      <c r="U9" s="20">
        <v>1792</v>
      </c>
      <c r="V9" s="20">
        <v>2400</v>
      </c>
      <c r="W9" s="20">
        <v>16000</v>
      </c>
      <c r="X9" s="20">
        <v>13682</v>
      </c>
      <c r="Y9" s="20">
        <v>13500</v>
      </c>
      <c r="Z9" s="20">
        <v>6000</v>
      </c>
    </row>
    <row r="10" spans="1:26" ht="13.8" x14ac:dyDescent="0.25">
      <c r="A10" s="68"/>
      <c r="B10" s="17" t="s">
        <v>34</v>
      </c>
      <c r="C10" s="18">
        <v>7000</v>
      </c>
      <c r="D10" s="18">
        <v>4120</v>
      </c>
      <c r="E10" s="18" t="s">
        <v>33</v>
      </c>
      <c r="F10" s="18"/>
      <c r="G10" s="19">
        <v>3000</v>
      </c>
      <c r="H10" s="19" t="s">
        <v>33</v>
      </c>
      <c r="I10" s="18">
        <v>1200</v>
      </c>
      <c r="J10" s="18"/>
      <c r="K10" s="18">
        <v>9800</v>
      </c>
      <c r="L10" s="18">
        <v>9000</v>
      </c>
      <c r="M10" s="18"/>
      <c r="N10" s="18"/>
      <c r="O10" s="18">
        <v>1112</v>
      </c>
      <c r="P10" s="18">
        <v>2200</v>
      </c>
      <c r="Q10" s="18">
        <v>16000</v>
      </c>
      <c r="R10" s="18"/>
      <c r="S10" s="20">
        <v>8509</v>
      </c>
      <c r="T10" s="20">
        <v>2612</v>
      </c>
      <c r="U10" s="20">
        <v>3277</v>
      </c>
      <c r="V10" s="20">
        <v>5834</v>
      </c>
      <c r="W10" s="20">
        <v>4320</v>
      </c>
      <c r="X10" s="20">
        <v>11465</v>
      </c>
      <c r="Y10" s="20">
        <v>21042</v>
      </c>
      <c r="Z10" s="20">
        <v>10012</v>
      </c>
    </row>
    <row r="11" spans="1:26" ht="13.8" x14ac:dyDescent="0.25">
      <c r="A11" s="68"/>
      <c r="B11" s="17" t="s">
        <v>35</v>
      </c>
      <c r="C11" s="18">
        <v>0</v>
      </c>
      <c r="D11" s="18">
        <v>0</v>
      </c>
      <c r="E11" s="18"/>
      <c r="F11" s="18"/>
      <c r="G11" s="19"/>
      <c r="H11" s="19">
        <v>9581</v>
      </c>
      <c r="I11" s="18">
        <v>0</v>
      </c>
      <c r="J11" s="18"/>
      <c r="K11" s="18"/>
      <c r="L11" s="18"/>
      <c r="M11" s="18"/>
      <c r="N11" s="18"/>
      <c r="O11" s="18">
        <v>4730</v>
      </c>
      <c r="P11" s="18">
        <v>4400</v>
      </c>
      <c r="Q11" s="18">
        <v>10200</v>
      </c>
      <c r="R11" s="18">
        <v>12000</v>
      </c>
      <c r="S11" s="20">
        <v>5500</v>
      </c>
      <c r="T11" s="20">
        <v>1686</v>
      </c>
      <c r="U11" s="20"/>
      <c r="V11" s="20">
        <v>3640</v>
      </c>
      <c r="W11" s="20">
        <v>19600</v>
      </c>
      <c r="X11" s="20">
        <v>30820</v>
      </c>
      <c r="Y11" s="20">
        <v>24800</v>
      </c>
      <c r="Z11" s="20">
        <v>10000</v>
      </c>
    </row>
    <row r="12" spans="1:26" ht="13.8" x14ac:dyDescent="0.25">
      <c r="A12" s="77"/>
      <c r="B12" s="17" t="s">
        <v>36</v>
      </c>
      <c r="C12" s="18">
        <v>1437</v>
      </c>
      <c r="D12" s="18">
        <v>200</v>
      </c>
      <c r="E12" s="18" t="s">
        <v>33</v>
      </c>
      <c r="F12" s="18"/>
      <c r="G12" s="21">
        <v>1200</v>
      </c>
      <c r="H12" s="21">
        <v>9581</v>
      </c>
      <c r="I12" s="18">
        <v>500</v>
      </c>
      <c r="J12" s="18"/>
      <c r="K12" s="18"/>
      <c r="L12" s="18"/>
      <c r="M12" s="18"/>
      <c r="N12" s="18"/>
      <c r="O12" s="18">
        <v>0</v>
      </c>
      <c r="P12" s="18">
        <v>0</v>
      </c>
      <c r="Q12" s="18">
        <v>18900</v>
      </c>
      <c r="R12" s="18">
        <v>1700</v>
      </c>
      <c r="S12" s="20">
        <v>6600</v>
      </c>
      <c r="T12" s="20">
        <v>1253</v>
      </c>
      <c r="U12" s="22"/>
      <c r="V12" s="22"/>
      <c r="W12" s="22">
        <v>0</v>
      </c>
      <c r="X12" s="20">
        <v>14873</v>
      </c>
      <c r="Y12" s="20">
        <v>0</v>
      </c>
      <c r="Z12" s="20">
        <v>0</v>
      </c>
    </row>
    <row r="13" spans="1:26" ht="13.8" x14ac:dyDescent="0.25">
      <c r="A13" s="83" t="s">
        <v>37</v>
      </c>
      <c r="B13" s="65"/>
      <c r="C13" s="15">
        <v>14079</v>
      </c>
      <c r="D13" s="15">
        <v>8300</v>
      </c>
      <c r="E13" s="15"/>
      <c r="F13" s="15"/>
      <c r="G13" s="23">
        <v>8355</v>
      </c>
      <c r="H13" s="23">
        <v>31748</v>
      </c>
      <c r="I13" s="15"/>
      <c r="J13" s="15"/>
      <c r="K13" s="15"/>
      <c r="L13" s="15"/>
      <c r="M13" s="15"/>
      <c r="N13" s="15"/>
      <c r="O13" s="15">
        <v>16600</v>
      </c>
      <c r="P13" s="15">
        <v>20657</v>
      </c>
      <c r="Q13" s="15">
        <v>11700</v>
      </c>
      <c r="R13" s="15">
        <v>23120</v>
      </c>
      <c r="S13" s="15">
        <v>10700</v>
      </c>
      <c r="T13" s="15">
        <v>5000</v>
      </c>
      <c r="U13" s="24">
        <v>19254</v>
      </c>
      <c r="V13" s="15">
        <v>20000</v>
      </c>
      <c r="W13" s="15">
        <v>40000</v>
      </c>
      <c r="X13" s="15">
        <v>26520</v>
      </c>
      <c r="Y13" s="15">
        <v>32000</v>
      </c>
      <c r="Z13" s="15">
        <v>12400</v>
      </c>
    </row>
    <row r="14" spans="1:26" ht="13.8" x14ac:dyDescent="0.25">
      <c r="A14" s="64" t="s">
        <v>38</v>
      </c>
      <c r="B14" s="65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20"/>
      <c r="T14" s="22">
        <v>105</v>
      </c>
      <c r="U14" s="22">
        <v>240</v>
      </c>
      <c r="V14" s="22">
        <v>209</v>
      </c>
      <c r="W14" s="22">
        <v>1000</v>
      </c>
      <c r="X14" s="22">
        <v>663</v>
      </c>
      <c r="Y14" s="22">
        <v>800</v>
      </c>
      <c r="Z14" s="22">
        <v>310</v>
      </c>
    </row>
    <row r="15" spans="1:26" ht="13.8" x14ac:dyDescent="0.25">
      <c r="A15" s="64" t="s">
        <v>39</v>
      </c>
      <c r="B15" s="65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20"/>
      <c r="T15" s="22"/>
      <c r="U15" s="22"/>
      <c r="V15" s="22"/>
      <c r="W15" s="22"/>
      <c r="X15" s="20"/>
      <c r="Y15" s="20"/>
      <c r="Z15" s="20"/>
    </row>
    <row r="16" spans="1:26" ht="13.8" x14ac:dyDescent="0.25">
      <c r="A16" s="64" t="s">
        <v>40</v>
      </c>
      <c r="B16" s="65"/>
      <c r="C16" s="18"/>
      <c r="D16" s="18">
        <v>10200</v>
      </c>
      <c r="E16" s="18"/>
      <c r="F16" s="18"/>
      <c r="G16" s="18"/>
      <c r="H16" s="18"/>
      <c r="I16" s="18"/>
      <c r="J16" s="18"/>
      <c r="K16" s="18"/>
      <c r="L16" s="18"/>
      <c r="M16" s="18"/>
      <c r="N16" s="18">
        <v>6820</v>
      </c>
      <c r="O16" s="18"/>
      <c r="P16" s="18"/>
      <c r="Q16" s="18"/>
      <c r="R16" s="18"/>
      <c r="S16" s="20"/>
      <c r="T16" s="22"/>
      <c r="U16" s="22"/>
      <c r="V16" s="22"/>
      <c r="W16" s="22"/>
      <c r="X16" s="20"/>
      <c r="Y16" s="20"/>
      <c r="Z16" s="20"/>
    </row>
    <row r="17" spans="1:26" ht="13.8" x14ac:dyDescent="0.25">
      <c r="A17" s="64" t="s">
        <v>41</v>
      </c>
      <c r="B17" s="65"/>
      <c r="C17" s="18">
        <v>22937</v>
      </c>
      <c r="D17" s="18">
        <v>18000</v>
      </c>
      <c r="E17" s="25"/>
      <c r="F17" s="25"/>
      <c r="G17" s="18"/>
      <c r="H17" s="18">
        <v>22737</v>
      </c>
      <c r="I17" s="25"/>
      <c r="J17" s="25"/>
      <c r="K17" s="25"/>
      <c r="L17" s="25"/>
      <c r="M17" s="25"/>
      <c r="N17" s="26"/>
      <c r="O17" s="18"/>
      <c r="P17" s="18">
        <v>18000</v>
      </c>
      <c r="Q17" s="18"/>
      <c r="R17" s="18"/>
      <c r="S17" s="20"/>
      <c r="T17" s="22"/>
      <c r="U17" s="18">
        <v>16043</v>
      </c>
      <c r="V17" s="22"/>
      <c r="W17" s="22"/>
      <c r="X17" s="20"/>
      <c r="Y17" s="20"/>
      <c r="Z17" s="20"/>
    </row>
    <row r="18" spans="1:26" ht="13.8" x14ac:dyDescent="0.25">
      <c r="A18" s="66" t="s">
        <v>42</v>
      </c>
      <c r="B18" s="65"/>
      <c r="C18" s="27">
        <v>1.1978785662033651</v>
      </c>
      <c r="D18" s="27">
        <v>1.049444648993618</v>
      </c>
      <c r="E18" s="27">
        <v>0</v>
      </c>
      <c r="F18" s="27">
        <v>1.2000229296442084</v>
      </c>
      <c r="G18" s="27">
        <v>0.95450261331505437</v>
      </c>
      <c r="H18" s="27">
        <v>1.5</v>
      </c>
      <c r="I18" s="27">
        <v>1.5228426395939085</v>
      </c>
      <c r="J18" s="27">
        <v>0.70370370370370372</v>
      </c>
      <c r="K18" s="27">
        <v>1.0088618200567157</v>
      </c>
      <c r="L18" s="27">
        <v>1.4664533089495941</v>
      </c>
      <c r="M18" s="28"/>
      <c r="N18" s="27">
        <v>0.79856892572024718</v>
      </c>
      <c r="O18" s="27">
        <v>1.5259342134705751</v>
      </c>
      <c r="P18" s="27">
        <v>1.2118890212072086</v>
      </c>
      <c r="Q18" s="27">
        <v>1.8</v>
      </c>
      <c r="R18" s="27">
        <v>1.08</v>
      </c>
      <c r="S18" s="27">
        <v>1.8865587179304277</v>
      </c>
      <c r="T18" s="27">
        <v>2.8560319928904687</v>
      </c>
      <c r="U18" s="27">
        <v>0.93232104121475057</v>
      </c>
      <c r="V18" s="27">
        <v>2.8466453674121404</v>
      </c>
      <c r="W18" s="27">
        <v>1.1014533040298131</v>
      </c>
      <c r="X18" s="27">
        <v>4.7260146943433909</v>
      </c>
      <c r="Y18" s="27">
        <v>1.4927257167308514</v>
      </c>
      <c r="Z18" s="27">
        <v>1.9766414449597267</v>
      </c>
    </row>
    <row r="19" spans="1:26" ht="13.8" x14ac:dyDescent="0.25">
      <c r="A19" s="64" t="s">
        <v>43</v>
      </c>
      <c r="B19" s="65"/>
      <c r="C19" s="29">
        <v>0.27965130455986342</v>
      </c>
      <c r="D19" s="29">
        <v>0.27614138438880709</v>
      </c>
      <c r="E19" s="30">
        <v>0.36880000000000002</v>
      </c>
      <c r="F19" s="29"/>
      <c r="G19" s="26">
        <v>0.3</v>
      </c>
      <c r="H19" s="29">
        <v>0.35000461808441857</v>
      </c>
      <c r="I19" s="25"/>
      <c r="J19" s="25"/>
      <c r="K19" s="25"/>
      <c r="L19" s="25"/>
      <c r="M19" s="25"/>
      <c r="N19" s="26">
        <v>0.27</v>
      </c>
      <c r="O19" s="30"/>
      <c r="P19" s="30">
        <v>0.67941577792162944</v>
      </c>
      <c r="Q19" s="30">
        <v>0</v>
      </c>
      <c r="R19" s="30">
        <v>0</v>
      </c>
      <c r="S19" s="31">
        <v>0</v>
      </c>
      <c r="T19" s="31">
        <v>0</v>
      </c>
      <c r="U19" s="22"/>
      <c r="V19" s="22"/>
      <c r="W19" s="22"/>
      <c r="X19" s="22"/>
      <c r="Y19" s="22"/>
      <c r="Z19" s="32"/>
    </row>
    <row r="20" spans="1:26" ht="13.8" x14ac:dyDescent="0.25">
      <c r="A20" s="64" t="s">
        <v>44</v>
      </c>
      <c r="B20" s="65"/>
      <c r="C20" s="26">
        <v>0.35</v>
      </c>
      <c r="D20" s="26">
        <v>0.35</v>
      </c>
      <c r="E20" s="30">
        <v>0.30449999999999999</v>
      </c>
      <c r="F20" s="26">
        <v>0.35</v>
      </c>
      <c r="G20" s="26">
        <v>0.4</v>
      </c>
      <c r="H20" s="25"/>
      <c r="I20" s="25"/>
      <c r="J20" s="25"/>
      <c r="K20" s="25"/>
      <c r="L20" s="25"/>
      <c r="M20" s="25"/>
      <c r="N20" s="26">
        <v>0.32</v>
      </c>
      <c r="O20" s="33"/>
      <c r="P20" s="34">
        <v>0.2</v>
      </c>
      <c r="Q20" s="33"/>
      <c r="R20" s="33"/>
      <c r="S20" s="22"/>
      <c r="T20" s="22"/>
      <c r="U20" s="35">
        <v>0.35599999999999998</v>
      </c>
      <c r="V20" s="36">
        <v>0.35</v>
      </c>
      <c r="W20" s="36">
        <v>0.35</v>
      </c>
      <c r="X20" s="36">
        <v>0.35</v>
      </c>
      <c r="Y20" s="36">
        <v>0.35</v>
      </c>
      <c r="Z20" s="36">
        <v>0.35</v>
      </c>
    </row>
    <row r="21" spans="1:26" ht="13.8" x14ac:dyDescent="0.25">
      <c r="A21" s="37" t="s">
        <v>28</v>
      </c>
      <c r="B21" s="17" t="s">
        <v>45</v>
      </c>
      <c r="C21" s="25"/>
      <c r="D21" s="25"/>
      <c r="E21" s="25"/>
      <c r="F21" s="25">
        <v>9158</v>
      </c>
      <c r="G21" s="25">
        <v>23342</v>
      </c>
      <c r="H21" s="25"/>
      <c r="I21" s="25"/>
      <c r="J21" s="25"/>
      <c r="K21" s="25"/>
      <c r="L21" s="25"/>
      <c r="M21" s="25"/>
      <c r="N21" s="25"/>
      <c r="O21" s="33"/>
      <c r="P21" s="33"/>
      <c r="Q21" s="33"/>
      <c r="R21" s="33"/>
      <c r="S21" s="22"/>
      <c r="T21" s="22"/>
      <c r="U21" s="22">
        <v>16412</v>
      </c>
      <c r="V21" s="22"/>
      <c r="W21" s="22">
        <v>80581.899999999994</v>
      </c>
      <c r="X21" s="22">
        <v>14719.949999999999</v>
      </c>
      <c r="Y21" s="22">
        <v>44169.299999999996</v>
      </c>
      <c r="Z21" s="22">
        <v>14339.499999999998</v>
      </c>
    </row>
    <row r="22" spans="1:26" ht="13.8" x14ac:dyDescent="0.25">
      <c r="A22" s="64" t="s">
        <v>46</v>
      </c>
      <c r="B22" s="65"/>
      <c r="C22" s="25">
        <v>187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33"/>
      <c r="P22" s="33">
        <v>123</v>
      </c>
      <c r="Q22" s="33"/>
      <c r="R22" s="33"/>
      <c r="S22" s="22"/>
      <c r="T22" s="22"/>
      <c r="U22" s="22">
        <v>252</v>
      </c>
      <c r="V22" s="22"/>
      <c r="W22" s="22"/>
      <c r="X22" s="22"/>
      <c r="Y22" s="22"/>
      <c r="Z22" s="32"/>
    </row>
    <row r="23" spans="1:26" ht="13.8" x14ac:dyDescent="0.25">
      <c r="A23" s="67" t="s">
        <v>28</v>
      </c>
      <c r="B23" s="17" t="s">
        <v>47</v>
      </c>
      <c r="C23" s="25">
        <v>26</v>
      </c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33"/>
      <c r="P23" s="33">
        <v>23</v>
      </c>
      <c r="Q23" s="33"/>
      <c r="R23" s="33"/>
      <c r="S23" s="22"/>
      <c r="T23" s="22">
        <v>105</v>
      </c>
      <c r="U23" s="22">
        <v>12</v>
      </c>
      <c r="V23" s="22"/>
      <c r="W23" s="22">
        <v>20</v>
      </c>
      <c r="X23" s="22"/>
      <c r="Y23" s="22"/>
      <c r="Z23" s="32"/>
    </row>
    <row r="24" spans="1:26" ht="14.4" thickBot="1" x14ac:dyDescent="0.3">
      <c r="A24" s="68"/>
      <c r="B24" s="38" t="s">
        <v>48</v>
      </c>
      <c r="C24" s="39">
        <v>161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40"/>
      <c r="P24" s="40">
        <v>100</v>
      </c>
      <c r="Q24" s="40">
        <v>292</v>
      </c>
      <c r="R24" s="40"/>
      <c r="S24" s="41"/>
      <c r="T24" s="41"/>
      <c r="U24" s="41">
        <v>240</v>
      </c>
      <c r="V24" s="41"/>
      <c r="W24" s="41">
        <v>980</v>
      </c>
      <c r="X24" s="41">
        <v>663</v>
      </c>
      <c r="Y24" s="41"/>
      <c r="Z24" s="42"/>
    </row>
    <row r="25" spans="1:26" ht="15" thickTop="1" thickBot="1" x14ac:dyDescent="0.3">
      <c r="A25" s="69"/>
      <c r="B25" s="38" t="s">
        <v>49</v>
      </c>
      <c r="C25" s="39">
        <v>161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40"/>
      <c r="P25" s="40"/>
      <c r="Q25" s="40" t="s">
        <v>50</v>
      </c>
      <c r="R25" s="40"/>
      <c r="S25" s="41"/>
      <c r="T25" s="41"/>
      <c r="U25" s="41"/>
      <c r="V25" s="41"/>
      <c r="W25" s="41"/>
      <c r="X25" s="41"/>
      <c r="Y25" s="41"/>
      <c r="Z25" s="42"/>
    </row>
    <row r="26" spans="1:26" ht="14.4" thickTop="1" x14ac:dyDescent="0.25">
      <c r="A26" s="70" t="s">
        <v>51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2"/>
    </row>
    <row r="27" spans="1:26" ht="15.75" customHeight="1" x14ac:dyDescent="0.3">
      <c r="A27" s="73" t="s">
        <v>52</v>
      </c>
      <c r="B27" s="74"/>
      <c r="C27" s="43"/>
      <c r="D27" s="43"/>
      <c r="E27" s="43"/>
      <c r="F27" s="43"/>
      <c r="G27" s="43">
        <v>124</v>
      </c>
      <c r="H27" s="43"/>
      <c r="I27" s="43"/>
      <c r="J27" s="43"/>
      <c r="K27" s="43"/>
      <c r="L27" s="43"/>
      <c r="M27" s="43"/>
      <c r="N27" s="43"/>
      <c r="O27" s="44"/>
      <c r="P27" s="44"/>
      <c r="Q27" s="43"/>
      <c r="R27" s="43"/>
      <c r="S27" s="43"/>
      <c r="T27" s="43">
        <v>124</v>
      </c>
      <c r="U27" s="45"/>
      <c r="V27" s="43"/>
      <c r="W27" s="43"/>
      <c r="X27" s="43"/>
      <c r="Y27" s="43"/>
      <c r="Z27" s="43"/>
    </row>
    <row r="28" spans="1:26" ht="15.75" customHeight="1" x14ac:dyDescent="0.3">
      <c r="A28" s="75" t="s">
        <v>53</v>
      </c>
      <c r="B28" s="65"/>
      <c r="C28" s="46">
        <v>2250</v>
      </c>
      <c r="D28" s="46">
        <v>2088</v>
      </c>
      <c r="E28" s="46">
        <v>2256</v>
      </c>
      <c r="F28" s="46">
        <v>720</v>
      </c>
      <c r="G28" s="46">
        <v>2484</v>
      </c>
      <c r="H28" s="46">
        <v>3000</v>
      </c>
      <c r="I28" s="46">
        <v>300</v>
      </c>
      <c r="J28" s="46">
        <v>300</v>
      </c>
      <c r="K28" s="46">
        <v>2340</v>
      </c>
      <c r="L28" s="46">
        <v>2076</v>
      </c>
      <c r="M28" s="46">
        <v>2196</v>
      </c>
      <c r="N28" s="46">
        <v>3300</v>
      </c>
      <c r="O28" s="47">
        <v>2400</v>
      </c>
      <c r="P28" s="47">
        <v>2520</v>
      </c>
      <c r="Q28" s="46">
        <v>3600</v>
      </c>
      <c r="R28" s="46">
        <v>5112</v>
      </c>
      <c r="S28" s="46">
        <v>2400</v>
      </c>
      <c r="T28" s="46">
        <v>1554</v>
      </c>
      <c r="U28" s="46">
        <v>3000</v>
      </c>
      <c r="V28" s="46">
        <v>3400</v>
      </c>
      <c r="W28" s="46">
        <v>7740</v>
      </c>
      <c r="X28" s="46">
        <v>7920</v>
      </c>
      <c r="Y28" s="46">
        <v>5400</v>
      </c>
      <c r="Z28" s="46">
        <v>2400</v>
      </c>
    </row>
    <row r="29" spans="1:26" ht="13.8" x14ac:dyDescent="0.25">
      <c r="A29" s="76" t="s">
        <v>28</v>
      </c>
      <c r="B29" s="48" t="s">
        <v>54</v>
      </c>
      <c r="C29" s="49">
        <v>360</v>
      </c>
      <c r="D29" s="50">
        <v>360</v>
      </c>
      <c r="E29" s="49">
        <v>360</v>
      </c>
      <c r="F29" s="50">
        <v>0</v>
      </c>
      <c r="G29" s="50">
        <v>0</v>
      </c>
      <c r="H29" s="49">
        <v>360</v>
      </c>
      <c r="I29" s="50">
        <v>0</v>
      </c>
      <c r="J29" s="50">
        <v>0</v>
      </c>
      <c r="K29" s="50">
        <v>0</v>
      </c>
      <c r="L29" s="50">
        <v>360</v>
      </c>
      <c r="M29" s="50">
        <v>180</v>
      </c>
      <c r="N29" s="50">
        <v>0</v>
      </c>
      <c r="O29" s="50">
        <v>0</v>
      </c>
      <c r="P29" s="50">
        <v>0</v>
      </c>
      <c r="Q29" s="50">
        <v>0</v>
      </c>
      <c r="R29" s="49">
        <v>360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49">
        <v>360</v>
      </c>
      <c r="Y29" s="50">
        <v>0</v>
      </c>
      <c r="Z29" s="50">
        <v>0</v>
      </c>
    </row>
    <row r="30" spans="1:26" ht="15.75" customHeight="1" x14ac:dyDescent="0.3">
      <c r="A30" s="68"/>
      <c r="B30" s="48" t="s">
        <v>55</v>
      </c>
      <c r="C30" s="49">
        <v>882</v>
      </c>
      <c r="D30" s="50">
        <v>720</v>
      </c>
      <c r="E30" s="49">
        <v>720</v>
      </c>
      <c r="F30" s="49">
        <v>720</v>
      </c>
      <c r="G30" s="49">
        <v>864</v>
      </c>
      <c r="H30" s="49">
        <v>1344</v>
      </c>
      <c r="I30" s="50" t="s">
        <v>33</v>
      </c>
      <c r="J30" s="50" t="s">
        <v>33</v>
      </c>
      <c r="K30" s="50">
        <v>1248</v>
      </c>
      <c r="L30" s="50">
        <v>780</v>
      </c>
      <c r="M30" s="50">
        <v>624</v>
      </c>
      <c r="N30" s="50" t="s">
        <v>33</v>
      </c>
      <c r="O30" s="50" t="s">
        <v>33</v>
      </c>
      <c r="P30" s="51">
        <v>1680</v>
      </c>
      <c r="Q30" s="50">
        <v>0</v>
      </c>
      <c r="R30" s="49">
        <v>2160</v>
      </c>
      <c r="S30" s="50">
        <v>0</v>
      </c>
      <c r="T30" s="49">
        <v>1260</v>
      </c>
      <c r="U30" s="50">
        <v>0</v>
      </c>
      <c r="V30" s="49">
        <v>1800</v>
      </c>
      <c r="W30" s="49">
        <v>2160</v>
      </c>
      <c r="X30" s="49">
        <v>2160</v>
      </c>
      <c r="Y30" s="50">
        <v>0</v>
      </c>
      <c r="Z30" s="50">
        <v>0</v>
      </c>
    </row>
    <row r="31" spans="1:26" ht="15.75" customHeight="1" x14ac:dyDescent="0.3">
      <c r="A31" s="68"/>
      <c r="B31" s="48" t="s">
        <v>56</v>
      </c>
      <c r="C31" s="49">
        <v>504</v>
      </c>
      <c r="D31" s="50">
        <v>576</v>
      </c>
      <c r="E31" s="49">
        <v>840</v>
      </c>
      <c r="F31" s="50">
        <v>0</v>
      </c>
      <c r="G31" s="49">
        <v>810</v>
      </c>
      <c r="H31" s="49">
        <v>672</v>
      </c>
      <c r="I31" s="50" t="s">
        <v>33</v>
      </c>
      <c r="J31" s="50" t="s">
        <v>33</v>
      </c>
      <c r="K31" s="50">
        <v>624</v>
      </c>
      <c r="L31" s="50">
        <v>624</v>
      </c>
      <c r="M31" s="50">
        <v>672</v>
      </c>
      <c r="N31" s="50" t="s">
        <v>33</v>
      </c>
      <c r="O31" s="51">
        <v>2400</v>
      </c>
      <c r="P31" s="51">
        <v>840</v>
      </c>
      <c r="Q31" s="49">
        <v>1800</v>
      </c>
      <c r="R31" s="49">
        <v>1296</v>
      </c>
      <c r="S31" s="50">
        <v>0</v>
      </c>
      <c r="T31" s="49">
        <v>300</v>
      </c>
      <c r="U31" s="52">
        <v>3000</v>
      </c>
      <c r="V31" s="49">
        <v>1600</v>
      </c>
      <c r="W31" s="49">
        <v>2400</v>
      </c>
      <c r="X31" s="49">
        <v>2400</v>
      </c>
      <c r="Y31" s="49">
        <v>2400</v>
      </c>
      <c r="Z31" s="49">
        <v>2400</v>
      </c>
    </row>
    <row r="32" spans="1:26" ht="15.75" customHeight="1" x14ac:dyDescent="0.3">
      <c r="A32" s="77"/>
      <c r="B32" s="48" t="s">
        <v>57</v>
      </c>
      <c r="C32" s="49">
        <v>504</v>
      </c>
      <c r="D32" s="50">
        <v>432</v>
      </c>
      <c r="E32" s="49">
        <v>336</v>
      </c>
      <c r="F32" s="50">
        <v>0</v>
      </c>
      <c r="G32" s="49">
        <v>810</v>
      </c>
      <c r="H32" s="49">
        <v>624</v>
      </c>
      <c r="I32" s="49">
        <v>300</v>
      </c>
      <c r="J32" s="49">
        <v>300</v>
      </c>
      <c r="K32" s="50">
        <v>468</v>
      </c>
      <c r="L32" s="50">
        <v>312</v>
      </c>
      <c r="M32" s="50">
        <v>720</v>
      </c>
      <c r="N32" s="49">
        <v>3300</v>
      </c>
      <c r="O32" s="50" t="s">
        <v>33</v>
      </c>
      <c r="P32" s="50" t="s">
        <v>33</v>
      </c>
      <c r="Q32" s="49">
        <v>1800</v>
      </c>
      <c r="R32" s="49">
        <v>1296</v>
      </c>
      <c r="S32" s="51">
        <v>2400</v>
      </c>
      <c r="T32" s="50" t="s">
        <v>33</v>
      </c>
      <c r="U32" s="50" t="s">
        <v>33</v>
      </c>
      <c r="V32" s="50" t="s">
        <v>33</v>
      </c>
      <c r="W32" s="51">
        <v>3180</v>
      </c>
      <c r="X32" s="51">
        <v>3000</v>
      </c>
      <c r="Y32" s="51">
        <v>3000</v>
      </c>
      <c r="Z32" s="50">
        <v>0</v>
      </c>
    </row>
    <row r="33" spans="1:26" ht="15.75" customHeight="1" x14ac:dyDescent="0.25">
      <c r="A33" s="75" t="s">
        <v>58</v>
      </c>
      <c r="B33" s="65"/>
      <c r="C33" s="46">
        <v>1108</v>
      </c>
      <c r="D33" s="46">
        <v>976</v>
      </c>
      <c r="E33" s="46">
        <v>1108</v>
      </c>
      <c r="F33" s="46"/>
      <c r="G33" s="53">
        <v>1200</v>
      </c>
      <c r="H33" s="53">
        <v>1620</v>
      </c>
      <c r="I33" s="46">
        <v>240</v>
      </c>
      <c r="J33" s="46">
        <v>100</v>
      </c>
      <c r="K33" s="46">
        <v>0</v>
      </c>
      <c r="L33" s="46">
        <f>0.5*L28</f>
        <v>1038</v>
      </c>
      <c r="M33" s="46">
        <f>0.5*M28</f>
        <v>1098</v>
      </c>
      <c r="N33" s="46">
        <f>0.5*N28</f>
        <v>1650</v>
      </c>
      <c r="O33" s="46">
        <v>0</v>
      </c>
      <c r="P33" s="46">
        <v>0</v>
      </c>
      <c r="Q33" s="46">
        <v>3600</v>
      </c>
      <c r="R33" s="46">
        <v>1108</v>
      </c>
      <c r="S33" s="46">
        <v>1800</v>
      </c>
      <c r="T33" s="46">
        <v>0</v>
      </c>
      <c r="U33" s="46">
        <v>0</v>
      </c>
      <c r="V33" s="46">
        <v>0</v>
      </c>
      <c r="W33" s="46">
        <v>0</v>
      </c>
      <c r="X33" s="46">
        <v>0</v>
      </c>
      <c r="Y33" s="46">
        <v>0</v>
      </c>
      <c r="Z33" s="46">
        <v>0</v>
      </c>
    </row>
    <row r="34" spans="1:26" ht="13.8" x14ac:dyDescent="0.25">
      <c r="A34" s="76" t="s">
        <v>28</v>
      </c>
      <c r="B34" s="48" t="s">
        <v>59</v>
      </c>
      <c r="C34" s="50">
        <v>360</v>
      </c>
      <c r="D34" s="50">
        <v>176</v>
      </c>
      <c r="E34" s="50">
        <v>360</v>
      </c>
      <c r="F34" s="50"/>
      <c r="G34" s="54">
        <v>255</v>
      </c>
      <c r="H34" s="54">
        <v>432</v>
      </c>
      <c r="I34" s="50" t="s">
        <v>33</v>
      </c>
      <c r="J34" s="50" t="s">
        <v>33</v>
      </c>
      <c r="K34" s="50"/>
      <c r="L34" s="50"/>
      <c r="M34" s="50"/>
      <c r="N34" s="50" t="s">
        <v>33</v>
      </c>
      <c r="O34" s="50" t="s">
        <v>33</v>
      </c>
      <c r="P34" s="50" t="s">
        <v>33</v>
      </c>
      <c r="Q34" s="50" t="s">
        <v>33</v>
      </c>
      <c r="R34" s="49">
        <v>360</v>
      </c>
      <c r="S34" s="50" t="s">
        <v>33</v>
      </c>
      <c r="T34" s="22"/>
      <c r="U34" s="22"/>
      <c r="V34" s="22"/>
      <c r="W34" s="22"/>
      <c r="X34" s="22"/>
      <c r="Y34" s="22"/>
      <c r="Z34" s="32"/>
    </row>
    <row r="35" spans="1:26" ht="13.8" x14ac:dyDescent="0.25">
      <c r="A35" s="68"/>
      <c r="B35" s="48" t="s">
        <v>60</v>
      </c>
      <c r="C35" s="50">
        <v>374</v>
      </c>
      <c r="D35" s="50">
        <v>440</v>
      </c>
      <c r="E35" s="50">
        <v>374</v>
      </c>
      <c r="F35" s="50"/>
      <c r="G35" s="54">
        <v>375</v>
      </c>
      <c r="H35" s="54">
        <v>588</v>
      </c>
      <c r="I35" s="50" t="s">
        <v>33</v>
      </c>
      <c r="J35" s="50" t="s">
        <v>33</v>
      </c>
      <c r="K35" s="50"/>
      <c r="L35" s="50"/>
      <c r="M35" s="50"/>
      <c r="N35" s="50" t="s">
        <v>33</v>
      </c>
      <c r="O35" s="50" t="s">
        <v>33</v>
      </c>
      <c r="P35" s="50" t="s">
        <v>33</v>
      </c>
      <c r="Q35" s="49">
        <v>1800</v>
      </c>
      <c r="R35" s="49">
        <v>374</v>
      </c>
      <c r="S35" s="50" t="s">
        <v>33</v>
      </c>
      <c r="T35" s="22"/>
      <c r="U35" s="22"/>
      <c r="V35" s="22"/>
      <c r="W35" s="22"/>
      <c r="X35" s="22"/>
      <c r="Y35" s="22"/>
      <c r="Z35" s="32"/>
    </row>
    <row r="36" spans="1:26" ht="13.8" x14ac:dyDescent="0.25">
      <c r="A36" s="77"/>
      <c r="B36" s="48" t="s">
        <v>57</v>
      </c>
      <c r="C36" s="50">
        <v>374</v>
      </c>
      <c r="D36" s="50">
        <v>360</v>
      </c>
      <c r="E36" s="50">
        <v>374</v>
      </c>
      <c r="F36" s="50"/>
      <c r="G36" s="54">
        <v>570</v>
      </c>
      <c r="H36" s="54">
        <v>600</v>
      </c>
      <c r="I36" s="49">
        <v>240</v>
      </c>
      <c r="J36" s="49">
        <v>100</v>
      </c>
      <c r="K36" s="50"/>
      <c r="L36" s="50"/>
      <c r="M36" s="50"/>
      <c r="N36" s="50" t="s">
        <v>33</v>
      </c>
      <c r="O36" s="50" t="s">
        <v>33</v>
      </c>
      <c r="P36" s="50" t="s">
        <v>33</v>
      </c>
      <c r="Q36" s="49">
        <v>180</v>
      </c>
      <c r="R36" s="49">
        <v>374</v>
      </c>
      <c r="S36" s="52">
        <v>1800</v>
      </c>
      <c r="T36" s="22"/>
      <c r="U36" s="22"/>
      <c r="V36" s="22"/>
      <c r="W36" s="22"/>
      <c r="X36" s="22"/>
      <c r="Y36" s="22"/>
      <c r="Z36" s="32"/>
    </row>
    <row r="37" spans="1:26" ht="15.75" customHeight="1" x14ac:dyDescent="0.3">
      <c r="A37" s="78" t="s">
        <v>61</v>
      </c>
      <c r="B37" s="65"/>
      <c r="C37" s="55">
        <v>0.58624338624338623</v>
      </c>
      <c r="D37" s="55">
        <v>0.56481481481481477</v>
      </c>
      <c r="E37" s="55">
        <v>0.58438818565400841</v>
      </c>
      <c r="F37" s="55"/>
      <c r="G37" s="56">
        <v>0.48309178743961351</v>
      </c>
      <c r="H37" s="56">
        <v>0.61363636363636365</v>
      </c>
      <c r="I37" s="56">
        <v>0.8</v>
      </c>
      <c r="J37" s="55">
        <v>0.33333333333333331</v>
      </c>
      <c r="K37" s="55"/>
      <c r="L37" s="55">
        <v>0</v>
      </c>
      <c r="M37" s="55">
        <v>0</v>
      </c>
      <c r="N37" s="55">
        <v>0</v>
      </c>
      <c r="O37" s="57">
        <v>0</v>
      </c>
      <c r="P37" s="57">
        <v>0</v>
      </c>
      <c r="Q37" s="55">
        <v>1</v>
      </c>
      <c r="R37" s="55">
        <v>0.23316498316498316</v>
      </c>
      <c r="S37" s="55">
        <v>0.75</v>
      </c>
      <c r="T37" s="46">
        <v>0</v>
      </c>
      <c r="U37" s="46">
        <v>0</v>
      </c>
      <c r="V37" s="46"/>
      <c r="W37" s="46">
        <v>0</v>
      </c>
      <c r="X37" s="46">
        <v>0</v>
      </c>
      <c r="Y37" s="46">
        <v>0</v>
      </c>
      <c r="Z37" s="46">
        <v>0</v>
      </c>
    </row>
    <row r="38" spans="1:26" ht="13.8" x14ac:dyDescent="0.25">
      <c r="A38" s="76" t="s">
        <v>28</v>
      </c>
      <c r="B38" s="48" t="s">
        <v>62</v>
      </c>
      <c r="C38" s="58">
        <v>0.40816326530612246</v>
      </c>
      <c r="D38" s="58">
        <v>0.24444444444444444</v>
      </c>
      <c r="E38" s="58"/>
      <c r="F38" s="58"/>
      <c r="G38" s="59">
        <v>0.2951388888888889</v>
      </c>
      <c r="H38" s="59">
        <v>0.32142857142857145</v>
      </c>
      <c r="I38" s="50" t="s">
        <v>33</v>
      </c>
      <c r="J38" s="58"/>
      <c r="K38" s="58"/>
      <c r="L38" s="58"/>
      <c r="M38" s="58"/>
      <c r="N38" s="50" t="s">
        <v>33</v>
      </c>
      <c r="O38" s="50" t="s">
        <v>33</v>
      </c>
      <c r="P38" s="50" t="s">
        <v>33</v>
      </c>
      <c r="Q38" s="58"/>
      <c r="R38" s="58">
        <v>0.16666666666666666</v>
      </c>
      <c r="S38" s="50" t="s">
        <v>33</v>
      </c>
      <c r="T38" s="22"/>
      <c r="U38" s="22"/>
      <c r="V38" s="22"/>
      <c r="W38" s="22"/>
      <c r="X38" s="22"/>
      <c r="Y38" s="22"/>
      <c r="Z38" s="32"/>
    </row>
    <row r="39" spans="1:26" ht="13.8" x14ac:dyDescent="0.25">
      <c r="A39" s="68"/>
      <c r="B39" s="48" t="s">
        <v>63</v>
      </c>
      <c r="C39" s="58">
        <v>0.74206349206349209</v>
      </c>
      <c r="D39" s="58">
        <v>0.76388888888888884</v>
      </c>
      <c r="E39" s="58"/>
      <c r="F39" s="58"/>
      <c r="G39" s="59">
        <v>0.46296296296296297</v>
      </c>
      <c r="H39" s="59">
        <v>0.875</v>
      </c>
      <c r="I39" s="50" t="s">
        <v>33</v>
      </c>
      <c r="J39" s="58"/>
      <c r="K39" s="58"/>
      <c r="L39" s="58"/>
      <c r="M39" s="58"/>
      <c r="N39" s="50" t="s">
        <v>33</v>
      </c>
      <c r="O39" s="50" t="s">
        <v>33</v>
      </c>
      <c r="P39" s="50" t="s">
        <v>33</v>
      </c>
      <c r="Q39" s="58">
        <v>1</v>
      </c>
      <c r="R39" s="58">
        <v>0.28858024691358025</v>
      </c>
      <c r="S39" s="50" t="s">
        <v>33</v>
      </c>
      <c r="T39" s="22"/>
      <c r="U39" s="22"/>
      <c r="V39" s="22"/>
      <c r="W39" s="22"/>
      <c r="X39" s="22"/>
      <c r="Y39" s="22"/>
      <c r="Z39" s="32"/>
    </row>
    <row r="40" spans="1:26" ht="14.4" thickBot="1" x14ac:dyDescent="0.3">
      <c r="A40" s="69"/>
      <c r="B40" s="60" t="s">
        <v>64</v>
      </c>
      <c r="C40" s="61">
        <v>0.74206349206349209</v>
      </c>
      <c r="D40" s="61">
        <v>0.83333333333333337</v>
      </c>
      <c r="E40" s="61"/>
      <c r="F40" s="61"/>
      <c r="G40" s="62">
        <v>0.70370370370370372</v>
      </c>
      <c r="H40" s="62">
        <v>0.96153846153846156</v>
      </c>
      <c r="I40" s="62">
        <v>0.8</v>
      </c>
      <c r="J40" s="61"/>
      <c r="K40" s="61"/>
      <c r="L40" s="61"/>
      <c r="M40" s="61"/>
      <c r="N40" s="50" t="s">
        <v>33</v>
      </c>
      <c r="O40" s="50" t="s">
        <v>33</v>
      </c>
      <c r="P40" s="50" t="s">
        <v>33</v>
      </c>
      <c r="Q40" s="61">
        <v>1</v>
      </c>
      <c r="R40" s="61">
        <v>0.28858024691358025</v>
      </c>
      <c r="S40" s="58">
        <v>0.75</v>
      </c>
      <c r="T40" s="41"/>
      <c r="U40" s="41"/>
      <c r="V40" s="41"/>
      <c r="W40" s="41"/>
      <c r="X40" s="41"/>
      <c r="Y40" s="41"/>
      <c r="Z40" s="42"/>
    </row>
    <row r="41" spans="1:26" ht="13.8" thickTop="1" x14ac:dyDescent="0.25">
      <c r="A41" s="63" t="s">
        <v>65</v>
      </c>
      <c r="C41" s="63">
        <f t="shared" ref="C41:Z41" si="0">(C4-C8-C6-C13)/(C28-C29)</f>
        <v>30.902645502645502</v>
      </c>
      <c r="D41" s="63">
        <f t="shared" si="0"/>
        <v>23.205439814814813</v>
      </c>
      <c r="E41" s="63">
        <f t="shared" si="0"/>
        <v>27.683016877637129</v>
      </c>
      <c r="F41" s="63">
        <f t="shared" si="0"/>
        <v>44.31111111111111</v>
      </c>
      <c r="G41" s="63">
        <f t="shared" si="0"/>
        <v>15.74074074074074</v>
      </c>
      <c r="H41" s="63">
        <f t="shared" si="0"/>
        <v>14.120075757575757</v>
      </c>
      <c r="I41" s="63">
        <f t="shared" si="0"/>
        <v>22.333333333333332</v>
      </c>
      <c r="J41" s="63">
        <f t="shared" si="0"/>
        <v>31.666666666666668</v>
      </c>
      <c r="K41" s="63">
        <f t="shared" si="0"/>
        <v>26.758119658119657</v>
      </c>
      <c r="L41" s="63">
        <f t="shared" si="0"/>
        <v>36.282051282051285</v>
      </c>
      <c r="M41" s="63">
        <f t="shared" si="0"/>
        <v>8.662698412698413</v>
      </c>
      <c r="N41" s="63">
        <f t="shared" si="0"/>
        <v>13.075327272727273</v>
      </c>
      <c r="O41" s="63">
        <f t="shared" si="0"/>
        <v>14.207083333333333</v>
      </c>
      <c r="P41" s="63">
        <f t="shared" si="0"/>
        <v>12.742063492063492</v>
      </c>
      <c r="Q41" s="63">
        <f t="shared" si="0"/>
        <v>24.388888888888889</v>
      </c>
      <c r="R41" s="63">
        <f t="shared" si="0"/>
        <v>16.477272727272727</v>
      </c>
      <c r="S41" s="63">
        <f t="shared" si="0"/>
        <v>22.785416666666666</v>
      </c>
      <c r="T41" s="63">
        <f t="shared" si="0"/>
        <v>16.544401544401545</v>
      </c>
      <c r="U41" s="63">
        <f t="shared" si="0"/>
        <v>14.326666666666666</v>
      </c>
      <c r="V41" s="63">
        <f t="shared" si="0"/>
        <v>26.205882352941178</v>
      </c>
      <c r="W41" s="63">
        <f t="shared" si="0"/>
        <v>23.082558139534882</v>
      </c>
      <c r="X41" s="63">
        <f t="shared" si="0"/>
        <v>22.539947089947091</v>
      </c>
      <c r="Y41" s="63">
        <f t="shared" si="0"/>
        <v>26.474814814814813</v>
      </c>
      <c r="Z41" s="63">
        <f t="shared" si="0"/>
        <v>26.358333333333334</v>
      </c>
    </row>
    <row r="42" spans="1:26" ht="13.2" x14ac:dyDescent="0.25">
      <c r="A42" s="63" t="s">
        <v>66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:26" ht="13.2" x14ac:dyDescent="0.25">
      <c r="A43" s="63" t="s">
        <v>67</v>
      </c>
      <c r="C43" s="63">
        <f t="shared" ref="C43:Z43" si="1">C3/(C28-C29)</f>
        <v>43.396825396825399</v>
      </c>
      <c r="D43" s="63">
        <f t="shared" si="1"/>
        <v>37.722222222222221</v>
      </c>
      <c r="E43" s="63">
        <f t="shared" si="1"/>
        <v>40.468354430379748</v>
      </c>
      <c r="F43" s="63">
        <f t="shared" si="1"/>
        <v>36.343055555555559</v>
      </c>
      <c r="G43" s="63">
        <f t="shared" si="1"/>
        <v>23.492351046698872</v>
      </c>
      <c r="H43" s="63">
        <f t="shared" si="1"/>
        <v>24.606818181818181</v>
      </c>
      <c r="I43" s="63">
        <f t="shared" si="1"/>
        <v>22.983333333333334</v>
      </c>
      <c r="J43" s="63">
        <f t="shared" si="1"/>
        <v>45</v>
      </c>
      <c r="K43" s="63">
        <f t="shared" si="1"/>
        <v>26.523076923076925</v>
      </c>
      <c r="L43" s="63">
        <f t="shared" si="1"/>
        <v>30.59090909090909</v>
      </c>
      <c r="M43" s="63">
        <f t="shared" si="1"/>
        <v>16.946924603174605</v>
      </c>
      <c r="N43" s="63">
        <f t="shared" si="1"/>
        <v>23.644030303030306</v>
      </c>
      <c r="O43" s="63">
        <f t="shared" si="1"/>
        <v>9.3104166666666668</v>
      </c>
      <c r="P43" s="63">
        <f t="shared" si="1"/>
        <v>10.513234126984127</v>
      </c>
      <c r="Q43" s="63">
        <f t="shared" si="1"/>
        <v>19.453002777777776</v>
      </c>
      <c r="R43" s="63">
        <f t="shared" si="1"/>
        <v>22.379840067340066</v>
      </c>
      <c r="S43" s="63">
        <f t="shared" si="1"/>
        <v>17.52375</v>
      </c>
      <c r="T43" s="63">
        <f t="shared" si="1"/>
        <v>5.7927927927927927</v>
      </c>
      <c r="U43" s="63">
        <f t="shared" si="1"/>
        <v>15.366666666666667</v>
      </c>
      <c r="V43" s="63">
        <f t="shared" si="1"/>
        <v>9.2058823529411757</v>
      </c>
      <c r="W43" s="63">
        <f t="shared" si="1"/>
        <v>29.745994832041344</v>
      </c>
      <c r="X43" s="63">
        <f t="shared" si="1"/>
        <v>5.5630952380952383</v>
      </c>
      <c r="Y43" s="63">
        <f t="shared" si="1"/>
        <v>23.37</v>
      </c>
      <c r="Z43" s="63">
        <f t="shared" si="1"/>
        <v>17.070833333333333</v>
      </c>
    </row>
    <row r="44" spans="1:26" ht="13.2" x14ac:dyDescent="0.25">
      <c r="A44" s="63" t="s">
        <v>68</v>
      </c>
      <c r="C44" s="63">
        <f t="shared" ref="C44:R44" si="2">C8/C33</f>
        <v>27.714801444043321</v>
      </c>
      <c r="D44" s="63">
        <f t="shared" si="2"/>
        <v>20.96106557377049</v>
      </c>
      <c r="E44" s="63">
        <f t="shared" si="2"/>
        <v>18.056859205776174</v>
      </c>
      <c r="F44" s="63" t="e">
        <f t="shared" si="2"/>
        <v>#DIV/0!</v>
      </c>
      <c r="G44" s="63">
        <f t="shared" si="2"/>
        <v>15.833333333333334</v>
      </c>
      <c r="H44" s="63">
        <f t="shared" si="2"/>
        <v>17.965432098765433</v>
      </c>
      <c r="I44" s="63">
        <f t="shared" si="2"/>
        <v>15.833333333333334</v>
      </c>
      <c r="J44" s="63">
        <f t="shared" si="2"/>
        <v>0</v>
      </c>
      <c r="K44" s="63" t="e">
        <f t="shared" si="2"/>
        <v>#DIV/0!</v>
      </c>
      <c r="L44" s="63">
        <f t="shared" si="2"/>
        <v>14.181117533718689</v>
      </c>
      <c r="M44" s="63">
        <f t="shared" si="2"/>
        <v>9.3688524590163933</v>
      </c>
      <c r="N44" s="63">
        <f t="shared" si="2"/>
        <v>11.612121212121211</v>
      </c>
      <c r="O44" s="63" t="e">
        <f t="shared" si="2"/>
        <v>#DIV/0!</v>
      </c>
      <c r="P44" s="63" t="e">
        <f t="shared" si="2"/>
        <v>#DIV/0!</v>
      </c>
      <c r="Q44" s="63">
        <f t="shared" si="2"/>
        <v>10.722222222222221</v>
      </c>
      <c r="R44" s="63">
        <f t="shared" si="2"/>
        <v>27.075812274368232</v>
      </c>
    </row>
  </sheetData>
  <mergeCells count="24">
    <mergeCell ref="A14:B14"/>
    <mergeCell ref="A15:B15"/>
    <mergeCell ref="C1:R1"/>
    <mergeCell ref="S1:Z1"/>
    <mergeCell ref="A3:B3"/>
    <mergeCell ref="A4:B4"/>
    <mergeCell ref="A5:B5"/>
    <mergeCell ref="A6:A12"/>
    <mergeCell ref="A13:B13"/>
    <mergeCell ref="A29:A32"/>
    <mergeCell ref="A33:B33"/>
    <mergeCell ref="A34:A36"/>
    <mergeCell ref="A37:B37"/>
    <mergeCell ref="A38:A40"/>
    <mergeCell ref="A22:B22"/>
    <mergeCell ref="A23:A25"/>
    <mergeCell ref="A26:Z26"/>
    <mergeCell ref="A27:B27"/>
    <mergeCell ref="A28:B28"/>
    <mergeCell ref="A16:B16"/>
    <mergeCell ref="A17:B17"/>
    <mergeCell ref="A18:B18"/>
    <mergeCell ref="A19:B19"/>
    <mergeCell ref="A20:B20"/>
  </mergeCells>
  <phoneticPr fontId="7" type="noConversion"/>
  <conditionalFormatting sqref="D17">
    <cfRule type="colorScale" priority="1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校舍规模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Gongming Liu</cp:lastModifiedBy>
  <dcterms:created xsi:type="dcterms:W3CDTF">2026-06-09T11:02:46Z</dcterms:created>
  <dcterms:modified xsi:type="dcterms:W3CDTF">2026-06-09T11:15:21Z</dcterms:modified>
</cp:coreProperties>
</file>