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Project list" sheetId="1" r:id="rId5"/>
    <sheet state="visible" name="1.LIST-K12" sheetId="2" r:id="rId6"/>
    <sheet state="visible" name="2.LIST-KINDERGARTEN" sheetId="3" r:id="rId7"/>
    <sheet state="visible" name="3.LIST-CULTURE" sheetId="4" r:id="rId8"/>
    <sheet state="visible" name="4.LIST-OTHER" sheetId="5" r:id="rId9"/>
    <sheet state="visible" name="3_Material Supplier List 厂商列表" sheetId="6" r:id="rId10"/>
    <sheet state="visible" name="3.1Material NO.编号" sheetId="7" r:id="rId11"/>
    <sheet state="visible" name="user and password" sheetId="8" r:id="rId12"/>
    <sheet state="visible" name="4_LIBRARY" sheetId="9" r:id="rId13"/>
    <sheet state="visible" name="VISUALIZATION GFA list" sheetId="10" r:id="rId14"/>
    <sheet state="visible" name="PROJECT REFERENCE" sheetId="11" r:id="rId15"/>
  </sheets>
  <definedNames>
    <definedName hidden="1" localSheetId="5" name="_xlnm._FilterDatabase">'3_Material Supplier List 厂商列表'!$B$11:$K$296</definedName>
    <definedName hidden="1" localSheetId="6" name="_xlnm._FilterDatabase">'3.1Material NO.编号'!$A$1:$A$69</definedName>
    <definedName hidden="1" localSheetId="1" name="Z_5C7486D1_5394_47DE_9DCB_5522C71421AC_.wvu.FilterData">'1.LIST-K12'!$A$7:$BP$34</definedName>
  </definedNames>
  <calcPr/>
  <customWorkbookViews>
    <customWorkbookView activeSheetId="0" maximized="1" windowHeight="0" windowWidth="0" guid="{5C7486D1-5394-47DE-9DCB-5522C71421AC}" name="过滤器1"/>
  </customWorkbookViews>
</workbook>
</file>

<file path=xl/sharedStrings.xml><?xml version="1.0" encoding="utf-8"?>
<sst xmlns="http://schemas.openxmlformats.org/spreadsheetml/2006/main" count="3221" uniqueCount="1685">
  <si>
    <t>项目标题</t>
  </si>
  <si>
    <t>ID 
项目编号</t>
  </si>
  <si>
    <t>PROJECT NAME 
项目名</t>
  </si>
  <si>
    <t>PROJECT NAME
中文名</t>
  </si>
  <si>
    <t>EVA BASE RENOVATION</t>
  </si>
  <si>
    <t>艺瓦建筑办公室内改造</t>
  </si>
  <si>
    <t>BISS INNOVATION CENTER</t>
  </si>
  <si>
    <t>上海英国学校浦西校区高中创新中心</t>
  </si>
  <si>
    <t>BISS DA VINCI CENTER</t>
  </si>
  <si>
    <t>英国外籍人员子女学校达芬奇创作中心</t>
  </si>
  <si>
    <t>FRENCH CONSULATE GENERAL GUANGZHOU</t>
  </si>
  <si>
    <t>法国驻广州总领事馆</t>
  </si>
  <si>
    <t>CANADIAN INTERNATIONAL SCHOOL BEIJING - ADEN</t>
  </si>
  <si>
    <t>ADEN加拿大国际学校餐厅</t>
  </si>
  <si>
    <t>SSIS SUZHOU RETAINER</t>
  </si>
  <si>
    <t>苏州新加坡国际学校</t>
  </si>
  <si>
    <t>LUCTON SCHOOL ZHUQIAO</t>
  </si>
  <si>
    <t>上海祝桥莱克顿国际学校</t>
  </si>
  <si>
    <t>HANGZHOU ILTEXAS SCHOOL</t>
  </si>
  <si>
    <t>杭州余杭德州国际领袖学校</t>
  </si>
  <si>
    <t>STAR AMERICA WAIGAOQIAO</t>
  </si>
  <si>
    <t>上海美星幼儿园外高桥校区</t>
  </si>
  <si>
    <t>STAR AMERICA RJ42</t>
  </si>
  <si>
    <t>上海美星幼儿园瑞金二路校区</t>
  </si>
  <si>
    <t>CHONGQING CUMMINS</t>
  </si>
  <si>
    <t>重庆康明斯新工厂</t>
  </si>
  <si>
    <t>BISS IB ACADEMY</t>
  </si>
  <si>
    <t>上海浦西英国学校高中IB中心</t>
  </si>
  <si>
    <t>BEIJING DAYSTAR</t>
  </si>
  <si>
    <t>北京启明星双语学校</t>
  </si>
  <si>
    <t>HIGHER GROUND EDUCATION - GUIDEPOST JINGAN</t>
  </si>
  <si>
    <t>上海盖璞思蒙特梭利万航渡路校区</t>
  </si>
  <si>
    <t>BEIJING YIZHUANG CUMMINS</t>
  </si>
  <si>
    <t>北京亦庄康明斯</t>
  </si>
  <si>
    <t>WYCOMBE ABBEY CHANGZHOU</t>
  </si>
  <si>
    <t>常州威雅公学</t>
  </si>
  <si>
    <t>GLP BEIJING I-PARK</t>
  </si>
  <si>
    <r>
      <rPr>
        <rFont val="等线"/>
        <color theme="1"/>
        <sz val="12.0"/>
      </rPr>
      <t>北京环普研发厂房及附属设施</t>
    </r>
    <r>
      <rPr>
        <rFont val="等线"/>
        <color rgb="FFCC0000"/>
        <sz val="12.0"/>
      </rPr>
      <t>(只有餐厅确定）</t>
    </r>
  </si>
  <si>
    <t>HIGHER GROUND EDUCATION - GUIDEPOST XUHUI</t>
  </si>
  <si>
    <t>上海盖璞思蒙特梭利长乐路园区</t>
  </si>
  <si>
    <t>SHANGHAI GAPD INTERNATIONAL SCHOOL</t>
  </si>
  <si>
    <t>上海金苹果双语学校浦东校区</t>
  </si>
  <si>
    <t>DUKE UNIVERSITY</t>
  </si>
  <si>
    <t>昆山杜克大学</t>
  </si>
  <si>
    <t>BISS WELCOME CENTER</t>
  </si>
  <si>
    <t>上海英国学校主入口</t>
  </si>
  <si>
    <t>HANGZHOU TAIBAO CCRC</t>
  </si>
  <si>
    <t>太保家园•杭州国际颐养社区</t>
  </si>
  <si>
    <t>WYCOMBE ABBY SCHOOL NANJING</t>
  </si>
  <si>
    <t>南京威雅公学</t>
  </si>
  <si>
    <t>YCIS BLOCK C</t>
  </si>
  <si>
    <t>上海耀中国际学校古北校区C栋</t>
  </si>
  <si>
    <t>ASHLEY HOTEL</t>
  </si>
  <si>
    <t>BISS EYC</t>
  </si>
  <si>
    <r>
      <rPr>
        <rFont val="Arial"/>
        <color theme="1"/>
      </rPr>
      <t>浦东莱克顿学校</t>
    </r>
    <r>
      <rPr>
        <rFont val="Arial"/>
        <color rgb="FF990000"/>
      </rPr>
      <t>（</t>
    </r>
    <r>
      <rPr>
        <rFont val="Arial"/>
        <color rgb="FFCC0000"/>
      </rPr>
      <t xml:space="preserve"> 是空的）</t>
    </r>
  </si>
  <si>
    <t>JINHUA RIHS</t>
  </si>
  <si>
    <t>米德尔顿国际高中</t>
  </si>
  <si>
    <t>SHANGHAI SAS DESIGN TECH</t>
  </si>
  <si>
    <t>上海美国学校浦东校区中学部DT教室</t>
  </si>
  <si>
    <t>HUANIAODAO</t>
  </si>
  <si>
    <t>花鸟岛艺术家民宿</t>
  </si>
  <si>
    <t>ASHLEY HOTEL 2</t>
  </si>
  <si>
    <r>
      <rPr>
        <rFont val="Arial"/>
        <color theme="1"/>
      </rPr>
      <t>ASHLEY HOTEL 2</t>
    </r>
    <r>
      <rPr>
        <rFont val="Arial"/>
        <color rgb="FFCC0000"/>
      </rPr>
      <t>（DESIGN 都是空的）</t>
    </r>
  </si>
  <si>
    <t>CARVING ART MUSEUM</t>
  </si>
  <si>
    <t>福寿园人文纪念馆（杨艺厂地块）</t>
  </si>
  <si>
    <t xml:space="preserve"> JIANGNAN SCHOOL</t>
  </si>
  <si>
    <t>金华市江南中学</t>
  </si>
  <si>
    <t>ZHENGZHOU FSY</t>
  </si>
  <si>
    <t>河南郑州人文纪念公园综合业务楼</t>
  </si>
  <si>
    <t>DOTERRA SHOWROOM</t>
  </si>
  <si>
    <t>多特瑞精油生活馆</t>
  </si>
  <si>
    <t>BEIJING CUMMINS</t>
  </si>
  <si>
    <t>北京康明斯办公楼</t>
  </si>
  <si>
    <t>ZHONGSHAN ARDINGLY</t>
  </si>
  <si>
    <t>阿莱丁教育中山学校</t>
  </si>
  <si>
    <t>GLP SUZHOU</t>
  </si>
  <si>
    <t>苏州苏桐路国际科创园</t>
  </si>
  <si>
    <t>BEIJING IVY KINDERGARTEN</t>
  </si>
  <si>
    <t>北京远洋艾毅幼儿园</t>
  </si>
  <si>
    <t>TAIYUAN YANGFAN SCHOOL</t>
  </si>
  <si>
    <t>太原市扬帆双语学校</t>
  </si>
  <si>
    <t>SH Pudong laogang Funeral</t>
  </si>
  <si>
    <t>浦东老港</t>
  </si>
  <si>
    <t>Tamayouz Competition</t>
  </si>
  <si>
    <t>QINGPU KINDERGARTEN</t>
  </si>
  <si>
    <t>上海圣地雅歌幼儿园</t>
  </si>
  <si>
    <t>WYCOMBE ABBEY HANGZHOU</t>
  </si>
  <si>
    <t>杭州威雅公学</t>
  </si>
  <si>
    <t>WYCOMBE ABBEY DIANSHANHU</t>
  </si>
  <si>
    <t>淀山湖威雅公学</t>
  </si>
  <si>
    <t>CHONGQING LUCTON</t>
  </si>
  <si>
    <t>重庆莱克顿学校</t>
  </si>
  <si>
    <t>MOUNTAIN LINGANG</t>
  </si>
  <si>
    <t>山峰临港</t>
  </si>
  <si>
    <t>SHIJIAZHUANG CEMETERY</t>
  </si>
  <si>
    <t>石家庄殡葬</t>
  </si>
  <si>
    <t>JINAN FSY</t>
  </si>
  <si>
    <t>济南福寿园</t>
  </si>
  <si>
    <t>ZHUOYUE EDUCATION</t>
  </si>
  <si>
    <t>卓越教育</t>
  </si>
  <si>
    <t>山峰天津</t>
  </si>
  <si>
    <t>FSY Military Memorial</t>
  </si>
  <si>
    <t>福寿园军人纪念祠</t>
  </si>
  <si>
    <t>AIHUA SCHOOL</t>
  </si>
  <si>
    <t>福田新校园新社区五联展 - 爱华小学</t>
  </si>
  <si>
    <t>LIYUAN SCHOOL</t>
  </si>
  <si>
    <t>福田新校园新社区五联展 - 荔园小学</t>
  </si>
  <si>
    <t>QINGPU FSY</t>
  </si>
  <si>
    <t>青浦福寿园地宫</t>
  </si>
  <si>
    <t xml:space="preserve">LONGHUA INTERIOR </t>
  </si>
  <si>
    <t>龙华殡仪馆室内改造</t>
  </si>
  <si>
    <t>王中林科技创新园研学基地</t>
  </si>
  <si>
    <t>深圳市第二十八高级中学</t>
  </si>
  <si>
    <t>华东政法大学长宁校区</t>
  </si>
  <si>
    <t>SZ BIDDING</t>
  </si>
  <si>
    <t>深圳投标-育才三中</t>
  </si>
  <si>
    <t>深圳投标-海岸学校</t>
  </si>
  <si>
    <t>GUANGZHOU K-12 SCHOOL PROJECT</t>
  </si>
  <si>
    <t>北外广州校区项目</t>
  </si>
  <si>
    <t>DEWAN COMPETITION</t>
  </si>
  <si>
    <t>伊拉克竞赛</t>
  </si>
  <si>
    <t>CULTURE 
文化建筑</t>
  </si>
  <si>
    <t>BUILT 
已完成</t>
  </si>
  <si>
    <t>RENOVATION 
改造</t>
  </si>
  <si>
    <t>建筑</t>
  </si>
  <si>
    <t>PRE 设计前期</t>
  </si>
  <si>
    <t>K12 SCHOOL
学校</t>
  </si>
  <si>
    <t>UNBUILT
未建成</t>
  </si>
  <si>
    <t>NEW 
新建</t>
  </si>
  <si>
    <t>室内</t>
  </si>
  <si>
    <t>概念设计</t>
  </si>
  <si>
    <t>KINDERGARTEN
幼儿园</t>
  </si>
  <si>
    <t>CONSTRUCTION
建设中</t>
  </si>
  <si>
    <t>景观</t>
  </si>
  <si>
    <t>方案设计</t>
  </si>
  <si>
    <t>KG &amp; K12 
幼儿园及中小学</t>
  </si>
  <si>
    <t>OFFICE 
办公</t>
  </si>
  <si>
    <t>扩初设计</t>
  </si>
  <si>
    <t>OTHER 
其他</t>
  </si>
  <si>
    <t>施工图审核</t>
  </si>
  <si>
    <t>填写参考</t>
  </si>
  <si>
    <t>pin on map / 具体地址</t>
  </si>
  <si>
    <t>标准尺寸：
xxx by xxx</t>
  </si>
  <si>
    <t>项目信息 PROJECT INFO</t>
  </si>
  <si>
    <t>图片信息</t>
  </si>
  <si>
    <t>项目指标  Project Specification</t>
  </si>
  <si>
    <t xml:space="preserve">主要包含功能 </t>
  </si>
  <si>
    <t>LOCATION / CITY
地理位置</t>
  </si>
  <si>
    <t>CLIENT 
业主</t>
  </si>
  <si>
    <t>TYPE
项目类型</t>
  </si>
  <si>
    <t>STATUS
状态</t>
  </si>
  <si>
    <t>MODE
模式</t>
  </si>
  <si>
    <t>SCOPE 
设计范围</t>
  </si>
  <si>
    <t>PHASE
阶段</t>
  </si>
  <si>
    <t>FEATURE img
缩略图</t>
  </si>
  <si>
    <t>RENDER / PHOTO
效果图 实景</t>
  </si>
  <si>
    <t>TYPICAL DWG
标准平立剖</t>
  </si>
  <si>
    <t>FEATURE 
DIAGRAM
分析图</t>
  </si>
  <si>
    <t>SITE (sqm.)
场地面积</t>
  </si>
  <si>
    <t>GFA (sqm.)
建筑面积</t>
  </si>
  <si>
    <t>FAR
容积率</t>
  </si>
  <si>
    <t>LANDSCAPE (sqm.)
景观面积</t>
  </si>
  <si>
    <t>FLOOR 楼层</t>
  </si>
  <si>
    <t>ACA FLOOR
教学楼楼层</t>
  </si>
  <si>
    <t>F.F HEIGHT(m)
层高</t>
  </si>
  <si>
    <t>DORM FLOOR
宿舍楼层</t>
  </si>
  <si>
    <t>CLASSROOM SIZE(m)
标准教室尺寸
（面宽W*进深D）</t>
  </si>
  <si>
    <t>DORMITORY SIZE(m)
标准宿舍尺寸
（面宽W*进深D）</t>
  </si>
  <si>
    <t>THEATER(sqm.) 
剧场尺寸</t>
  </si>
  <si>
    <t>THEATER(sqm.) 
剧场人数</t>
  </si>
  <si>
    <t>STADIUM(sqm.)
体育馆/篮球场数量</t>
  </si>
  <si>
    <t>POOL(sqm.)
泳池尺寸</t>
  </si>
  <si>
    <t>INDOOR SPORTS(sqm.)
风雨操场</t>
  </si>
  <si>
    <t>LIBRARY SIZE(sqm.)
图书馆</t>
  </si>
  <si>
    <t>FLEXIBLE LEARNING SPACE(sqm.)
灵活学习空间</t>
  </si>
  <si>
    <t>ACTIVITY SPACE (sqm.)
活动空间</t>
  </si>
  <si>
    <t>CORRIDOR BETWEEN BUILDING 楼间连廊</t>
  </si>
  <si>
    <t>GATHERING STAIRS
聚集台阶</t>
  </si>
  <si>
    <t>RECEPTION AREA(sqm.)
接待区</t>
  </si>
  <si>
    <t>OFFICE AREA(sqm.)
办公区</t>
  </si>
  <si>
    <t>LECTURE HALL(sqm.)
报告厅面积/人数</t>
  </si>
  <si>
    <t>MULTI-PURPOSE CR(sqm.)
多功能室</t>
  </si>
  <si>
    <t>MAKER SPACE(sqm.)
创客工间</t>
  </si>
  <si>
    <t>MEDIA STUDIO(sqm.)
多媒体室</t>
  </si>
  <si>
    <t>RECORDING CR(sqm.)
录播教室</t>
  </si>
  <si>
    <t>MUSIC CLASSRM(sqm.)
音乐教室</t>
  </si>
  <si>
    <t>PRACTICE CABIN(sqm.)
排练室</t>
  </si>
  <si>
    <t>DRAMA RM(sqm.)
戏剧教室</t>
  </si>
  <si>
    <t>DANCE RM(sqm.)
舞蹈房</t>
  </si>
  <si>
    <t>DARK RM(sqm.)
摄影房</t>
  </si>
  <si>
    <t>COOKING CLASSROOM(sqm.)
烹饪教室</t>
  </si>
  <si>
    <t>POTTERY CR(sqm.)
陶艺教室</t>
  </si>
  <si>
    <t>CALLIGRAPHY CLASSRM(sqm.)
书法教室</t>
  </si>
  <si>
    <t>ART STUDIO(sqm.)
艺术教室</t>
  </si>
  <si>
    <t>LAB（sqm.)
科学实验室</t>
  </si>
  <si>
    <t>SCIENCE CR(sqm.)
科学教室</t>
  </si>
  <si>
    <t>COMPUTER CLASSRM(sqm.)
计算机教室</t>
  </si>
  <si>
    <t>PHYSICS CLASSRM(sqm.)
物理教室</t>
  </si>
  <si>
    <t>CHEMISTRY CLASSRM(sqm.)
化学教室</t>
  </si>
  <si>
    <t>SELF-STUDY AREA(sqm.)
自习室</t>
  </si>
  <si>
    <t>STEAM CLASSRM(sqm.)
创客教室</t>
  </si>
  <si>
    <t>INNOVATION CENTER(sqm.)
创新中心</t>
  </si>
  <si>
    <t>LOUNGE(sqm.)
休息室</t>
  </si>
  <si>
    <t>GUARD HOUSE（sqm.)
警卫室</t>
  </si>
  <si>
    <t>SERVICE COUNTER(sqm.)
服务台</t>
  </si>
  <si>
    <t>BRAINSTORM CORNER(sqm.)
头脑风暴（讨论）区</t>
  </si>
  <si>
    <t>SOCIAL HUB(sqm.)
社交中心</t>
  </si>
  <si>
    <t>MAIN CAFETERIA(sqm.)
主食堂</t>
  </si>
  <si>
    <t>SCHOOL KIOSK (sqm.)
小型商店</t>
  </si>
  <si>
    <t>PLAY GROUND（sqm.)
户外活动场地</t>
  </si>
  <si>
    <t>GYM(sqm.)
运动区</t>
  </si>
  <si>
    <t>上海市闵行区华漕镇金光路111号</t>
  </si>
  <si>
    <t>NORD ANGLIA EDUCATION</t>
  </si>
  <si>
    <t>建筑/室内</t>
  </si>
  <si>
    <t>概念/方案/扩初设计
/施工图审核</t>
  </si>
  <si>
    <t>N/A</t>
  </si>
  <si>
    <t>2F</t>
  </si>
  <si>
    <t>✔</t>
  </si>
  <si>
    <t>ROBOTIC 82.26
COMPUTER 103.75
FAB 140.83</t>
  </si>
  <si>
    <t>概念/方案设计
/施工图审核</t>
  </si>
  <si>
    <t>1F</t>
  </si>
  <si>
    <t>上海市浦东新区巨峰路1100号</t>
  </si>
  <si>
    <t>金苹果教育集团</t>
  </si>
  <si>
    <t>建筑/室内/景观</t>
  </si>
  <si>
    <t>680.25（512人）</t>
  </si>
  <si>
    <t>南京市江宁区纬12路</t>
  </si>
  <si>
    <t>南京威雅</t>
  </si>
  <si>
    <t>5F</t>
  </si>
  <si>
    <t>US.11F
LS.8F</t>
  </si>
  <si>
    <t xml:space="preserve">
8.4W*8.7D（小初高）</t>
  </si>
  <si>
    <t>3.1W*6.35D(二人间）
6.0W*6.35D(四人间）</t>
  </si>
  <si>
    <t>39.7W*30.9D/1226.73</t>
  </si>
  <si>
    <t>8920.08(3F)
篮球场*4</t>
  </si>
  <si>
    <t>1120.52 
(8 TRACKS)</t>
  </si>
  <si>
    <t>19.4W*8.7D/337.56</t>
  </si>
  <si>
    <t>8.4*8.7/71.38</t>
  </si>
  <si>
    <t xml:space="preserve">              
✔
</t>
  </si>
  <si>
    <t>8.4W*9.0D/75.6</t>
  </si>
  <si>
    <t>10W*4.2D/42.22</t>
  </si>
  <si>
    <t>13.05W*8.7D/115.03(小学)
9W*10D/83.12(中学)</t>
  </si>
  <si>
    <t>10W*11.87D/118.70</t>
  </si>
  <si>
    <t>13.23W*8.4D/111.12(小学)</t>
  </si>
  <si>
    <t>10W*10D/102.50</t>
  </si>
  <si>
    <t>13.05W*8.4D/115</t>
  </si>
  <si>
    <t>13.05W*8.4D/114.45</t>
  </si>
  <si>
    <t>8.7W*8.4D/76.30</t>
  </si>
  <si>
    <t>9.0W*8.4D/77.83</t>
  </si>
  <si>
    <t>19.4W*8.7D/162.82(中学)</t>
  </si>
  <si>
    <t>8.7W*8.4D/81.11(MULTI-P)</t>
  </si>
  <si>
    <t>✔
屋顶篮球场*4</t>
  </si>
  <si>
    <t xml:space="preserve"> YCIS BLOCK C</t>
  </si>
  <si>
    <t>上海耀中外籍人员子女学校</t>
  </si>
  <si>
    <t>上海市长宁区荣华西道18号</t>
  </si>
  <si>
    <t>耀中国际学校</t>
  </si>
  <si>
    <t>概念/方案/扩初设计</t>
  </si>
  <si>
    <t>三层</t>
  </si>
  <si>
    <t>浙江金华婺城区李渔路1929号</t>
  </si>
  <si>
    <t>金华江南中学</t>
  </si>
  <si>
    <t>12F</t>
  </si>
  <si>
    <t>8.1W*9.6D</t>
  </si>
  <si>
    <t>3.6W*9.3D</t>
  </si>
  <si>
    <t>3603（学生+职工）人
2300</t>
  </si>
  <si>
    <t>浙江金华婺城区临江东路1188号</t>
  </si>
  <si>
    <t>金华荣光国际学校</t>
  </si>
  <si>
    <t>6F</t>
  </si>
  <si>
    <t>7F</t>
  </si>
  <si>
    <t>7.49W*9.8D</t>
  </si>
  <si>
    <t>3.9W*7.9D</t>
  </si>
  <si>
    <t>450人1700</t>
  </si>
  <si>
    <t>180（2*90）</t>
  </si>
  <si>
    <t>108（18*6）</t>
  </si>
  <si>
    <t>180(2*90)</t>
  </si>
  <si>
    <t>140(2*70)</t>
  </si>
  <si>
    <t>480（4*120）</t>
  </si>
  <si>
    <t>600(6*100)</t>
  </si>
  <si>
    <t>阿丁莱教育中山学校</t>
  </si>
  <si>
    <t>中山市东区濠江西路北侧</t>
  </si>
  <si>
    <t>中山市启迪教育投资有限公司</t>
  </si>
  <si>
    <t>5F/1B</t>
  </si>
  <si>
    <t>18F/B</t>
  </si>
  <si>
    <t>8.4W*8.4D</t>
  </si>
  <si>
    <t>3.6W*9.0D</t>
  </si>
  <si>
    <t>39W*25.2D/982.8</t>
  </si>
  <si>
    <t>8421.08(5F/2B)
篮球场*3</t>
  </si>
  <si>
    <t>806.75
(6 TRACKS/25m)</t>
  </si>
  <si>
    <t>24.3W*29.4D/758.72
(小学室内运动场)</t>
  </si>
  <si>
    <t>29.4W*18.6D/912.22
(2F)</t>
  </si>
  <si>
    <t>8.4W*8.4D/68.98</t>
  </si>
  <si>
    <t>8.4W*12.2D/102.48</t>
  </si>
  <si>
    <t>9.6W*12.6D/120.96</t>
  </si>
  <si>
    <t>13.8W*11.2D/154.56</t>
  </si>
  <si>
    <t>9.6W*12.25D/117.94</t>
  </si>
  <si>
    <t>9.6W*12.7D/121.92</t>
  </si>
  <si>
    <t>21107.26（5F)</t>
  </si>
  <si>
    <t>太原市清徐县清东路大寨段666号</t>
  </si>
  <si>
    <t>山西兰蕙教育科技发展有限公司</t>
  </si>
  <si>
    <t>室内设计</t>
  </si>
  <si>
    <t>4F</t>
  </si>
  <si>
    <t>10.2W*8.2D</t>
  </si>
  <si>
    <t>3.6W*8.0D</t>
  </si>
  <si>
    <t>✔
（共享空间）</t>
  </si>
  <si>
    <t>✔
(音乐排练教室）</t>
  </si>
  <si>
    <t>✔
（厨艺体验区）</t>
  </si>
  <si>
    <t>✔
（创新楼）</t>
  </si>
  <si>
    <t>苏州市XX区XX路XX号</t>
  </si>
  <si>
    <t>概念/方案</t>
  </si>
  <si>
    <t>上海英国学校IB中心</t>
  </si>
  <si>
    <t>上海市闵行区</t>
  </si>
  <si>
    <t>上海英国学校</t>
  </si>
  <si>
    <t>ADEN加拿大国际学校</t>
  </si>
  <si>
    <t>北京</t>
  </si>
  <si>
    <t>北京埃顿酒店服务有限公司上海第二分公司</t>
  </si>
  <si>
    <t>方案/扩初设计
/施工图审核</t>
  </si>
  <si>
    <t xml:space="preserve">✔
（Learning Kitchen）
</t>
  </si>
  <si>
    <t>上海市浦东新区祝桥镇</t>
  </si>
  <si>
    <t>莱克顿教育科技（上海）有限公司</t>
  </si>
  <si>
    <t>3F</t>
  </si>
  <si>
    <t>8.0W*7.3D</t>
  </si>
  <si>
    <t>2.05W*3.0D</t>
  </si>
  <si>
    <t>✔
（排练室）</t>
  </si>
  <si>
    <t>✔
(餐厅)</t>
  </si>
  <si>
    <t>✔
 (屋顶篮球场*1，网球场*1）</t>
  </si>
  <si>
    <t>浙江省杭州市余杭新区</t>
  </si>
  <si>
    <t>领际朗德国际教育（广州）有限公司</t>
  </si>
  <si>
    <t>规划/建筑</t>
  </si>
  <si>
    <t>10F</t>
  </si>
  <si>
    <t>MS 4F/HS 5F</t>
  </si>
  <si>
    <t>MS 3F/HS 10F</t>
  </si>
  <si>
    <t>1820（1F）
篮球场*1</t>
  </si>
  <si>
    <t>1090m²
(小学)</t>
  </si>
  <si>
    <t>10100（5F）</t>
  </si>
  <si>
    <t>北京市北皋区</t>
  </si>
  <si>
    <t>上海市闵行区华漕镇</t>
  </si>
  <si>
    <t>上海英国外籍人员子女学校</t>
  </si>
  <si>
    <t>上海浦东</t>
  </si>
  <si>
    <t>上海美国学校</t>
  </si>
  <si>
    <t>(DISPLAY
TOOLS/STORAGE
WORK STATION)</t>
  </si>
  <si>
    <t>杭州市萧山区戴村镇上董村仙女湖以北地块</t>
  </si>
  <si>
    <t>杭州萧山威益硕硕投资管理有限公司</t>
  </si>
  <si>
    <r>
      <rPr>
        <rFont val="Arial"/>
        <color theme="1"/>
      </rPr>
      <t>9.0W*</t>
    </r>
    <r>
      <rPr>
        <rFont val="Arial"/>
        <color rgb="FFCC0000"/>
      </rPr>
      <t>？D</t>
    </r>
  </si>
  <si>
    <t>4.2W*6.55D</t>
  </si>
  <si>
    <r>
      <rPr>
        <rFont val="Arial"/>
        <color rgb="FFCC0000"/>
      </rPr>
      <t>1400</t>
    </r>
    <r>
      <rPr>
        <rFont val="Arial"/>
        <color theme="1"/>
      </rPr>
      <t>(4F)
篮球场*2</t>
    </r>
  </si>
  <si>
    <r>
      <rPr>
        <rFont val="Arial"/>
        <color rgb="FFCC0000"/>
      </rPr>
      <t>26.75*19.3</t>
    </r>
    <r>
      <rPr>
        <rFont val="Arial"/>
        <color theme="1"/>
      </rPr>
      <t xml:space="preserve">
（疏散96人）</t>
    </r>
  </si>
  <si>
    <t>✔
（阅览区）</t>
  </si>
  <si>
    <t>江苏省昆山市淀山湖镇环湖大道北侧双永路</t>
  </si>
  <si>
    <t xml:space="preserve">慧育（上海）商务咨询有限公司 </t>
  </si>
  <si>
    <t>概念规划设计</t>
  </si>
  <si>
    <t>2250
（PAC area)</t>
  </si>
  <si>
    <t>2400(5F)
篮球场*2</t>
  </si>
  <si>
    <t>2000
(餐厅)</t>
  </si>
  <si>
    <t>重庆市铁山坪</t>
  </si>
  <si>
    <t>重庆市莱克顿教育科技有限公司</t>
  </si>
  <si>
    <t>方案/施工图审核</t>
  </si>
  <si>
    <t>950
（室内）</t>
  </si>
  <si>
    <t>75
（访客中心）</t>
  </si>
  <si>
    <t>100m²</t>
  </si>
  <si>
    <t>同时容纳20人
(餐厅)</t>
  </si>
  <si>
    <t>MOUNTAIN EDUCATION TIANJIN</t>
  </si>
  <si>
    <t>天津</t>
  </si>
  <si>
    <t>山峰教育</t>
  </si>
  <si>
    <t>建筑设计</t>
  </si>
  <si>
    <t>深圳龙岗威尔森学校</t>
  </si>
  <si>
    <t>深圳</t>
  </si>
  <si>
    <t>SHENZHEN NO.28</t>
  </si>
  <si>
    <t>深圳第28 高级中学</t>
  </si>
  <si>
    <t>深圳市南山区科苑南路、中心路与望海路交汇处</t>
  </si>
  <si>
    <t>深圳市南山区建筑工务署</t>
  </si>
  <si>
    <t>8F</t>
  </si>
  <si>
    <t>9.0W*9.0D</t>
  </si>
  <si>
    <t>11.4W*9.0D/102.6</t>
  </si>
  <si>
    <t>项目信息</t>
  </si>
  <si>
    <t xml:space="preserve">项目指标 </t>
  </si>
  <si>
    <t>PROJECT NAME 
中文名</t>
  </si>
  <si>
    <t>LOCATION
地理位置</t>
  </si>
  <si>
    <t>TYPICAL PLAN / DIAGRAM
标准平面 及 分析图</t>
  </si>
  <si>
    <t>GFA(sqm.)
建筑面积</t>
  </si>
  <si>
    <t>LANDSCAPE
景观面积</t>
  </si>
  <si>
    <t>层高</t>
  </si>
  <si>
    <t>THEATER(sqm.) 
剧场</t>
  </si>
  <si>
    <t>POOL(sqm.)
泳池</t>
  </si>
  <si>
    <t>LIBRARY(sqm.)
图书馆</t>
  </si>
  <si>
    <t>ACTIVITY SPACE(sqm.)
活动室</t>
  </si>
  <si>
    <t>PLAY YARD（sqm.)
户外活动场地</t>
  </si>
  <si>
    <t>STEAM CLASSROOM(sqm.)
多功能教室</t>
  </si>
  <si>
    <t>MUSIC CR(sqm.)
音乐教室</t>
  </si>
  <si>
    <t>ART ROOM(sqm.)
艺术室</t>
  </si>
  <si>
    <t>INNOVATION GALLARY（sqm.)
创意画廊</t>
  </si>
  <si>
    <t>GREEN HOUSE（sqm.)
种植角</t>
  </si>
  <si>
    <t>CANTEEN(sqm.)
餐厅</t>
  </si>
  <si>
    <t>KITCHEN(sqm.)
厨房</t>
  </si>
  <si>
    <t>LEARNING KITCHEN(sqm.)
学习厨房</t>
  </si>
  <si>
    <t>LOBBY(sqm.)
大厅</t>
  </si>
  <si>
    <t>OFFICE(sqm.)
办公</t>
  </si>
  <si>
    <t>SOLATION(sqm.)
隔离室</t>
  </si>
  <si>
    <t xml:space="preserve">NIDO(sqm.)
</t>
  </si>
  <si>
    <t xml:space="preserve">TODDLER(sqm.)
</t>
  </si>
  <si>
    <t>9.0W*13.8D</t>
  </si>
  <si>
    <t>9.0W*17.45D/157.05</t>
  </si>
  <si>
    <t>16.2W*27.0D/437.5</t>
  </si>
  <si>
    <t>11.4W*8.1D/92.88
(半户外空间）</t>
  </si>
  <si>
    <t>11.92W*9.0D/107.28</t>
  </si>
  <si>
    <t>16.2W*12.2D/230.81</t>
  </si>
  <si>
    <t>25.2W*9.0D/226.8</t>
  </si>
  <si>
    <t>9.0W*18D/162</t>
  </si>
  <si>
    <t>9.0W*2.65D/23.85
(保健观察室)</t>
  </si>
  <si>
    <t>建筑室内</t>
  </si>
  <si>
    <t>北京市朝阳区东三环北路2号远洋新干线E座</t>
  </si>
  <si>
    <t>北京市朝阳区艾毅双语幼儿园</t>
  </si>
  <si>
    <t>方案/扩初设计/施工图审核</t>
  </si>
  <si>
    <t>7.6W*5.0D</t>
  </si>
  <si>
    <t>57.15
（INDOOR PLAY YARD)</t>
  </si>
  <si>
    <t>上海市青浦区清河湾路1238号</t>
  </si>
  <si>
    <t>上海青浦区圣地雅歌幼儿园</t>
  </si>
  <si>
    <t>上海市浦东新区航津路</t>
  </si>
  <si>
    <t>美星教育科技（上海）有限公司</t>
  </si>
  <si>
    <t>3F/1B</t>
  </si>
  <si>
    <t>422
(2个篮球场)</t>
  </si>
  <si>
    <t>上海市瑞金二路43号</t>
  </si>
  <si>
    <t>麦寇利教育科技（上海）有限公司</t>
  </si>
  <si>
    <t>11.6W*7.2D</t>
  </si>
  <si>
    <t>✔
(图书角)</t>
  </si>
  <si>
    <t>7.2*5.8
(兴趣教室)</t>
  </si>
  <si>
    <t>✔
(4.2*6.0)</t>
  </si>
  <si>
    <t>常州市武进区环湖北路9号</t>
  </si>
  <si>
    <t>常州市武进区威雅公学实验学校</t>
  </si>
  <si>
    <t>幼儿园室内改造
船屋新建</t>
  </si>
  <si>
    <t>1800
幼儿园1200
船屋600</t>
  </si>
  <si>
    <t>✔
（THE GARDEN）</t>
  </si>
  <si>
    <t>上海市万航渡路858弄15号</t>
  </si>
  <si>
    <t>上海学锐文化交流咨询有限公司</t>
  </si>
  <si>
    <t>1F/1B</t>
  </si>
  <si>
    <t>7.5W*1.39D</t>
  </si>
  <si>
    <t>上海盖璞思蒙特梭利日托长乐路园区</t>
  </si>
  <si>
    <t>上海市长乐路1039号</t>
  </si>
  <si>
    <t>12.72W*6.0D</t>
  </si>
  <si>
    <t>✔
(AUDITORIUM)</t>
  </si>
  <si>
    <t>10.17W*6.0D</t>
  </si>
  <si>
    <t>GREEN RATE绿地率</t>
  </si>
  <si>
    <t>FLOOR楼层</t>
  </si>
  <si>
    <t>HUMANITIES AND ARTS人文艺术展厅</t>
  </si>
  <si>
    <t>TEA RM(sqm.)
茶室</t>
  </si>
  <si>
    <t>COUTYARD(sqm.)
庭院</t>
  </si>
  <si>
    <t>LOBBY(sqm.)
大堂</t>
  </si>
  <si>
    <t>LECTURE HALL(sqm.)
报告厅</t>
  </si>
  <si>
    <t>TRAINING RM(sqm.)
培训室</t>
  </si>
  <si>
    <t>PRIVATE OFFICE(sqm.)
独立办公室</t>
  </si>
  <si>
    <t>OPEN OFFICE（sqm.)
开放办公区</t>
  </si>
  <si>
    <t>MEETING ROOM(sqm.)
会议室</t>
  </si>
  <si>
    <t>COMMUNICATION AREA(sqm.)
交流区</t>
  </si>
  <si>
    <t>河南郑州人文纪念公园</t>
  </si>
  <si>
    <t>河南郑州xxx路xxx号</t>
  </si>
  <si>
    <t>福寿园集团</t>
  </si>
  <si>
    <t>福寿园人文纪念馆</t>
  </si>
  <si>
    <t>上润市青浦区上泭福寿园北面原杨艺场地块</t>
  </si>
  <si>
    <t>上海福寿园实业集团有限公司</t>
  </si>
  <si>
    <t>80m²</t>
  </si>
  <si>
    <t>264m²</t>
  </si>
  <si>
    <t>504m²</t>
  </si>
  <si>
    <t>772m²</t>
  </si>
  <si>
    <t>TAMAYOUZ COMPETITION</t>
  </si>
  <si>
    <t>SHARJAH</t>
  </si>
  <si>
    <t>RIFAT CHADIRJI PRIZE</t>
  </si>
  <si>
    <t>河北省石家庄</t>
  </si>
  <si>
    <t>上海</t>
  </si>
  <si>
    <t>军魂园</t>
  </si>
  <si>
    <t>上海青浦福寿园</t>
  </si>
  <si>
    <t>济南福寿园停车场</t>
  </si>
  <si>
    <t>山东济南</t>
  </si>
  <si>
    <t>建筑室内景观</t>
  </si>
  <si>
    <t>概念/方案/施工图</t>
  </si>
  <si>
    <t>NANCHANG FSY</t>
  </si>
  <si>
    <t>FlOOR楼层</t>
  </si>
  <si>
    <t>THEATER 
剧场</t>
  </si>
  <si>
    <t>POOL
泳池</t>
  </si>
  <si>
    <t>GYM(sqm.)
健身房</t>
  </si>
  <si>
    <t>GUEST ROOM客房</t>
  </si>
  <si>
    <t>RECEPTION(sqm.)
接待区</t>
  </si>
  <si>
    <t>DISPLAY AREA(sqm.)
产品区</t>
  </si>
  <si>
    <t>MULTI RM(sqm.)
多功能室</t>
  </si>
  <si>
    <t>BEVERAGE BAR(sqm.)
饮品区</t>
  </si>
  <si>
    <t>University for the Elderly(sqm.)
老年大学</t>
  </si>
  <si>
    <t>Health management(sqm.)
健康管理</t>
  </si>
  <si>
    <t>Property management(sqm.)
物业管理</t>
  </si>
  <si>
    <t>CONSULATE WAITING RM(sqm.)
领事等候室</t>
  </si>
  <si>
    <t>VISA WAITING RM(sqm.)
签证等候室</t>
  </si>
  <si>
    <t>NURSING(sqm.)
母婴室</t>
  </si>
  <si>
    <t>MOUDLE AREA(sqm.)
模块区</t>
  </si>
  <si>
    <t>LOCKER/SHOWER(sqm.)
更衣/淋浴</t>
  </si>
  <si>
    <t>FACTORY RELATED(sqm.)
生产相关</t>
  </si>
  <si>
    <t>CINEMA AREA(sqm.)
影视区</t>
  </si>
  <si>
    <t>READING AREA(sqm.)
阅览区</t>
  </si>
  <si>
    <t>PERFORMANCE AREA(sqm.)
表演区</t>
  </si>
  <si>
    <t>BALL ROOM(sqm.)
宴会厅</t>
  </si>
  <si>
    <t>艺瓦建筑办公室</t>
  </si>
  <si>
    <t>上海 遵义路 100号</t>
  </si>
  <si>
    <t>艺瓦建筑设计咨询(上海)有限公司</t>
  </si>
  <si>
    <t>方案/扩初/施工图审核</t>
  </si>
  <si>
    <t>文件夹目录位置</t>
  </si>
  <si>
    <t>广州凯华国际大厦19楼01-07单元</t>
  </si>
  <si>
    <t>上海慧弘建筑装饰设计工程有限公司</t>
  </si>
  <si>
    <t>浙江嵊泗花鸟乡</t>
  </si>
  <si>
    <t>花鸟岛微度假旅游</t>
  </si>
  <si>
    <t>概念/方案/扩初/施工图审核</t>
  </si>
  <si>
    <t>上海 xxx路 xxx号丰盛里C幢3层</t>
  </si>
  <si>
    <t>DOTERRA多特瑞</t>
  </si>
  <si>
    <t>70
(16+17+37)</t>
  </si>
  <si>
    <t>北京 xxx路 xxx号</t>
  </si>
  <si>
    <t>福田康明斯</t>
  </si>
  <si>
    <t>方案/扩初设计</t>
  </si>
  <si>
    <t>办公楼508个工位
厂房152+128工位</t>
  </si>
  <si>
    <t>✔
（SOCIAL HUB)</t>
  </si>
  <si>
    <t>苏州市苏桐路</t>
  </si>
  <si>
    <t>苏州工业园区创普资产经营管理有限公司</t>
  </si>
  <si>
    <t>概念设计（合同终止）</t>
  </si>
  <si>
    <t>✔
(休闲区)</t>
  </si>
  <si>
    <t>浙江省杭州市临安区天目医药港（锦南新城区块）综合配套区ZXJI-G-18地块</t>
  </si>
  <si>
    <t>同济大学建筑设计研究院（集团）有限公司</t>
  </si>
  <si>
    <t>最高17F
(老年配套生活单元)</t>
  </si>
  <si>
    <t>✔
(公寓户型)</t>
  </si>
  <si>
    <t>✔
（4m²/人)</t>
  </si>
  <si>
    <t>✔
（SOCIAL HUB,1.8m²/人)</t>
  </si>
  <si>
    <t>✔
（2.0m²/人)</t>
  </si>
  <si>
    <t>✔
（1.3m²/人)</t>
  </si>
  <si>
    <t>✔
（1.39m²/人)</t>
  </si>
  <si>
    <t>重庆市两江新区礼嘉组团F标准分区F21-1/03号地块</t>
  </si>
  <si>
    <t>重庆康明斯发动机有限公司</t>
  </si>
  <si>
    <t>516
(EXHIBITION)</t>
  </si>
  <si>
    <t>332
(汇报厅)</t>
  </si>
  <si>
    <t>北京市北京市万源街8号</t>
  </si>
  <si>
    <t>上海蔚来建筑装饰设计工程有限公司</t>
  </si>
  <si>
    <t>4750
(室内面积)</t>
  </si>
  <si>
    <t>3F/MEZZ.</t>
  </si>
  <si>
    <t>135
（14+121LOBBY)</t>
  </si>
  <si>
    <t>527
(EXHIBITION)</t>
  </si>
  <si>
    <t>✔
（PANTRY)</t>
  </si>
  <si>
    <t>北京环普研发厂房及附属设施</t>
  </si>
  <si>
    <t>北京顺义区空港工业区B区裕庆路空港小学对面</t>
  </si>
  <si>
    <t xml:space="preserve">北京力浩科技有限公司 </t>
  </si>
  <si>
    <t>9F</t>
  </si>
  <si>
    <t>✔
？人？m²</t>
  </si>
  <si>
    <t>财富广场B栋14至22层</t>
  </si>
  <si>
    <t>JAKARTA, INDONESIA</t>
  </si>
  <si>
    <t>PT PRIMA HOTEL INDONESIA</t>
  </si>
  <si>
    <t>6F/1B/1MEZZ.</t>
  </si>
  <si>
    <t>3.0W*7.5D</t>
  </si>
  <si>
    <t>B182.52
A173.05
(LOBBY)</t>
  </si>
  <si>
    <t>1000人/811.30</t>
  </si>
  <si>
    <t>$</t>
  </si>
  <si>
    <t>under 100</t>
  </si>
  <si>
    <t>$$</t>
  </si>
  <si>
    <t>100-300</t>
  </si>
  <si>
    <r>
      <rPr>
        <rFont val="stylus bt"/>
        <b/>
        <color theme="1"/>
        <sz val="21.0"/>
      </rPr>
      <t xml:space="preserve">Vender List </t>
    </r>
    <r>
      <rPr>
        <rFont val="Verdana"/>
        <b/>
        <color theme="1"/>
        <sz val="21.0"/>
      </rPr>
      <t>厂商列表</t>
    </r>
  </si>
  <si>
    <t>$$$</t>
  </si>
  <si>
    <t>300-500</t>
  </si>
  <si>
    <t>$$$$</t>
  </si>
  <si>
    <t>500-1000</t>
  </si>
  <si>
    <t>$$$$$</t>
  </si>
  <si>
    <t>1000 up</t>
  </si>
  <si>
    <t>_</t>
  </si>
  <si>
    <r>
      <rPr>
        <rFont val="stylus bt"/>
        <b/>
        <color theme="1"/>
        <sz val="11.0"/>
      </rPr>
      <t xml:space="preserve">No. </t>
    </r>
    <r>
      <rPr>
        <rFont val="Verdana"/>
        <b/>
        <color theme="1"/>
        <sz val="11.0"/>
      </rPr>
      <t>编号</t>
    </r>
  </si>
  <si>
    <r>
      <rPr>
        <rFont val="stylus bt"/>
        <b/>
        <color theme="1"/>
        <sz val="11.0"/>
      </rPr>
      <t xml:space="preserve">Brand </t>
    </r>
    <r>
      <rPr>
        <rFont val="Verdana"/>
        <b/>
        <color theme="1"/>
        <sz val="11.0"/>
      </rPr>
      <t>品牌</t>
    </r>
  </si>
  <si>
    <r>
      <rPr>
        <rFont val="stylus bt"/>
        <b/>
        <color theme="1"/>
        <sz val="11.0"/>
      </rPr>
      <t xml:space="preserve">Sample </t>
    </r>
    <r>
      <rPr>
        <rFont val="Verdana"/>
        <b/>
        <color theme="1"/>
        <sz val="11.0"/>
      </rPr>
      <t>样品</t>
    </r>
  </si>
  <si>
    <r>
      <rPr>
        <rFont val="stylus bt"/>
        <b/>
        <color theme="1"/>
        <sz val="11.0"/>
      </rPr>
      <t xml:space="preserve">Supplier </t>
    </r>
    <r>
      <rPr>
        <rFont val="Verdana"/>
        <b/>
        <color theme="1"/>
        <sz val="11.0"/>
      </rPr>
      <t>厂商</t>
    </r>
    <r>
      <rPr>
        <rFont val="Verdana"/>
        <b/>
        <color theme="1"/>
        <sz val="11.0"/>
      </rPr>
      <t xml:space="preserve"> </t>
    </r>
  </si>
  <si>
    <t>应用范围</t>
  </si>
  <si>
    <t>使用区域</t>
  </si>
  <si>
    <t>平均单价(RMB)</t>
  </si>
  <si>
    <t>最大尺寸(mm)</t>
  </si>
  <si>
    <t>最小尺寸(mm)</t>
  </si>
  <si>
    <t>标准尺寸</t>
  </si>
  <si>
    <t>~LT-灯具</t>
  </si>
  <si>
    <t>3 LIGHT</t>
  </si>
  <si>
    <t>联络：
We chat 微信：
Tel. 电话：86-21-63211123
Mal.邮箱：sales@3light.com
Ad. 地址：Building 1No.1899 Wangfang Road, Shanghai P.R.China
Web.网址：</t>
  </si>
  <si>
    <t>室内Interior</t>
  </si>
  <si>
    <t xml:space="preserve">FLM-膜
</t>
  </si>
  <si>
    <t>3M</t>
  </si>
  <si>
    <t>Contact 联络：顾亮;唐娜
We chat 微信：
Tel. 电话：顾亮：13818783663；唐娜：18019712798
Mal.邮箱：Dgu@mmm.com
Ad. 地址:上海市虹桥开发区兴义路8号万都中心大厦38号
Web.网址：www.3M.com.cn</t>
  </si>
  <si>
    <t>室内interior
建筑：Architecture</t>
  </si>
  <si>
    <t xml:space="preserve">室内FLIM膜：适用基材：玻璃；镜子；橱窗
建筑FLIM膜：建筑外立面窗户
</t>
  </si>
  <si>
    <t>1220mmx45720mm卷材</t>
  </si>
  <si>
    <t>BS-建筑系统</t>
  </si>
  <si>
    <t>柯昇系统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</si>
  <si>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联络：吴萍萍
We chat 微信：
Tel. 电话：15858133130
Mal.邮箱：68814513@qq.com
Ad. 地址：杭州市萧山区市心北路108号雷迪森财富中心2幢2508室
</t>
    </r>
    <r>
      <rPr>
        <rFont val="Arial"/>
        <color theme="1"/>
        <sz val="11.0"/>
      </rPr>
      <t>Web. 网站：www.keshengxitong.com</t>
    </r>
  </si>
  <si>
    <t>建筑Architecture</t>
  </si>
  <si>
    <t>屋面系统
金属墙面系统
钢结构维护系统
虹吸排水系统</t>
  </si>
  <si>
    <t>~PT-涂料</t>
  </si>
  <si>
    <t>启智</t>
  </si>
  <si>
    <t>Contact 联络：
We chat 微信：
Tel. 电话：400-100-2378
Mal.邮箱：
Ad. 地址:杭州市下沙开发区6号大街452号高科技企业孵化器2-A620
Web.网址：www.magicwallpaint.com</t>
  </si>
  <si>
    <t>室内墙体</t>
  </si>
  <si>
    <t>LT-灯具</t>
  </si>
  <si>
    <t>三雄极光PAK</t>
  </si>
  <si>
    <t>Contact 联络：叶旭峰
We chat 微信：
Tel. 电话：15067139069
Mal.邮箱：yexufeng@pak.com.cn
Ad. 地址：广州市番禹区石壁街韦涌工业区132号
Web.网址：www.pak.com.cn</t>
  </si>
  <si>
    <t>灯具</t>
  </si>
  <si>
    <t>MTP-金属板</t>
  </si>
  <si>
    <t>世裕金属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</si>
  <si>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电话：0086-(0)574-65333838/65333832
Mal.邮箱：william@nbpolaris.com
Ad. 地址：浙江省宁海县桃源中路161号世贸中心写字楼1101室
</t>
    </r>
    <r>
      <rPr>
        <rFont val="Arial"/>
        <color theme="1"/>
        <sz val="11.0"/>
      </rPr>
      <t>Web. 网站：www.nbpolaris.com</t>
    </r>
  </si>
  <si>
    <t>建筑Architecture
室内Interior</t>
  </si>
  <si>
    <t>建筑外立面装饰
室内装饰</t>
  </si>
  <si>
    <t>W:1500mm
L：4000mm</t>
  </si>
  <si>
    <t>标准尺寸：1219mm×2438mm;1219mm×3048mm</t>
  </si>
  <si>
    <t>FU-家具</t>
  </si>
  <si>
    <t>浙江神鸽实业有限公司</t>
  </si>
  <si>
    <t>Contact 联络：
We chat 微信：
Tel. 电话：0574-86222296
Mal.邮箱：
Ad. 地址：浙江省宁波市北仑区春晓中七路86号
Web.网址：http://b2b.huangye88.com/gongsi/3284546/?from=wap</t>
  </si>
  <si>
    <t xml:space="preserve">室内Interior </t>
  </si>
  <si>
    <t>礼堂剧院椅
体育场馆椅
舞台机械
可伸缩看台</t>
  </si>
  <si>
    <t>ACTIVEFLOCKER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</si>
  <si>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
Mal.邮箱：
Ad. 地址：
Web.网址：activelocker.com.au
</t>
    </r>
  </si>
  <si>
    <t>储物柜</t>
  </si>
  <si>
    <t>CO-软木</t>
  </si>
  <si>
    <t>AMORIM</t>
  </si>
  <si>
    <r>
      <rPr>
        <rFont val="Arial"/>
        <color theme="1"/>
        <sz val="11.0"/>
      </rPr>
      <t xml:space="preserve">Contact 联络：
We chat 微信：
Tel. 电话：
Mal.邮箱：
Ad. 地址：
Web.网址:www.acousticorkusa.com
                </t>
    </r>
    <r>
      <rPr>
        <rFont val="Arial"/>
        <color rgb="FF000000"/>
        <sz val="11.0"/>
      </rPr>
      <t xml:space="preserve"> </t>
    </r>
    <r>
      <rPr>
        <rFont val="Arial"/>
        <color rgb="FF1155CC"/>
        <sz val="11.0"/>
        <u/>
      </rPr>
      <t>www.amorimcorkcomposites.com</t>
    </r>
  </si>
  <si>
    <t>室内地面
室内隔墙</t>
  </si>
  <si>
    <t>ALU-铝板</t>
  </si>
  <si>
    <t>ANOMETAL</t>
  </si>
  <si>
    <t>Contact 联络：徐玉剑
We chat 微信：
Tel. 电话：13661420348
Mal.邮箱：leon.xu@same-way.cn
Ad. 地址：Room 1904,No 1, Dapu Road,Huangpu District, Shanghai, China
Web.网址：www.anometal.com</t>
  </si>
  <si>
    <t>建筑幕墙
室内隔断
室内吊顶
电梯厅</t>
  </si>
  <si>
    <t xml:space="preserve">W：≤1520mm
厚度：≤3mm
</t>
  </si>
  <si>
    <t>WDS-门窗系统</t>
  </si>
  <si>
    <t>APPLETREE日朗门窗</t>
  </si>
  <si>
    <t>Contact 联络：
We chat 微信：
Tel. 电话：400-630-5855
Mal.邮箱：
Ad. 地址：
Web.网址：www.appletree.com.cn</t>
  </si>
  <si>
    <t>门窗（古典风格）</t>
  </si>
  <si>
    <t>APS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</si>
  <si>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电话：（86）14714924279
Mal.邮箱：apsconst@netvigator.com
Ad. 地址：珠海市香洲區立文街333号3栋二楼2F02号
</t>
    </r>
    <r>
      <rPr>
        <rFont val="Arial"/>
        <color theme="1"/>
        <sz val="11.0"/>
      </rPr>
      <t>Web.网址：www.apsconst.com</t>
    </r>
  </si>
  <si>
    <t xml:space="preserve">地坪系统
室内外墙身装饰系统
泳池
</t>
  </si>
  <si>
    <t>CS-天花系统</t>
  </si>
  <si>
    <t>AQUAPANEL</t>
  </si>
  <si>
    <t>Contact 联络：
We chat 微信：
Tel. 电话：
Mal.邮箱：
Ad. 地址：
Web.网址：www.AQUAPANEL.com</t>
  </si>
  <si>
    <t xml:space="preserve">~SLM-水泥基自流平
-胶粘剂
</t>
  </si>
  <si>
    <t>ARDEX</t>
  </si>
  <si>
    <t>Contact 联络：
We chat 微信：
Tel. 电话：+32 56676611
Mal.邮箱：info@beauflor.com
Ad. 地址：
Web.网址：www.beauflor.com</t>
  </si>
  <si>
    <t>室内地面</t>
  </si>
  <si>
    <r>
      <rPr>
        <rFont val="Arial"/>
        <color rgb="FF0000FF"/>
        <sz val="11.0"/>
      </rPr>
      <t>SW-</t>
    </r>
    <r>
      <rPr>
        <rFont val="Verdana"/>
        <color rgb="FF0000FF"/>
        <sz val="11.0"/>
      </rPr>
      <t xml:space="preserve">洁具
</t>
    </r>
    <r>
      <rPr>
        <rFont val="Arial"/>
        <color rgb="FF0000FF"/>
        <sz val="11.0"/>
      </rPr>
      <t>FU-家具</t>
    </r>
  </si>
  <si>
    <r>
      <rPr>
        <rFont val="Arial"/>
        <color theme="1"/>
        <sz val="11.0"/>
      </rPr>
      <t>ASI</t>
    </r>
    <r>
      <rPr>
        <rFont val="Verdana"/>
        <color theme="1"/>
        <sz val="11.0"/>
      </rPr>
      <t>（美国）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</si>
  <si>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</si>
  <si>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
We chat 微信：
Tel. 电话：021-3652-5261
Mal.邮箱：
Ad. 地址：上海市虹口区四平路188号上海商贸大厦1608室
Web.网址：www.asigroup.cn</t>
  </si>
  <si>
    <t>卫生间隔断
洗手间配件
储物柜+长凳</t>
  </si>
  <si>
    <t>AVARTE（芬兰家具）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</si>
  <si>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电话：400-690-9005
Mal.邮箱：marketing@avarte-cn.com
Ad. 地址：上海市松江区九亭镇久富经济开发区盛龙路865弄6号
Web.网址：www.avarte-cn.com
</t>
    </r>
  </si>
  <si>
    <t>沙发</t>
  </si>
  <si>
    <t>MP-金属漆</t>
  </si>
  <si>
    <t>BAUHINIA PAINTS紫荆花漆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</si>
  <si>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电话：021-37917777
Mal.邮箱：
Ad. 地址：上海市金山区华通路1288号
</t>
    </r>
    <r>
      <rPr>
        <rFont val="Arial"/>
        <color theme="1"/>
        <sz val="11.0"/>
      </rPr>
      <t>Web. 网站：http://www.baucoatings.com</t>
    </r>
  </si>
  <si>
    <t>室内墙面
建筑外立面</t>
  </si>
  <si>
    <t>~WDF-木地板</t>
  </si>
  <si>
    <t>BEAUFLOR</t>
  </si>
  <si>
    <t>室内地板</t>
  </si>
  <si>
    <t>SP-钢板</t>
  </si>
  <si>
    <t>BLUESCOPE恒丽板</t>
  </si>
  <si>
    <t>Contact 联络：
We chat 微信：
Tel. 电话：+86 2120591616
Mal.邮箱：china.enquiry@bluescopesteel.com
Ad. 地址：上海市浦东新区陆家嘴环路1000号恒生银行大厦12楼
Web.网址：www.bluescope.com.cn</t>
  </si>
  <si>
    <t xml:space="preserve">建筑Architecture </t>
  </si>
  <si>
    <t>建筑外立面</t>
  </si>
  <si>
    <t>⭐PVC-塑胶地板
FCS-金邦板</t>
  </si>
  <si>
    <t>BNBM北新地材 元韵系列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</si>
  <si>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</si>
  <si>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联络：范健怡 </t>
    </r>
    <r>
      <rPr>
        <rFont val="Verdana"/>
        <color theme="1"/>
        <sz val="11.0"/>
      </rPr>
      <t>Jenny Fan
We chat 微信：je_459351097
Tel. 电话：17317598890
Mal.邮箱：jennyfan@modularspacegroup.com
Ad. 地址：美迪乐（上海）贸易有限公司
200040上海市北京西路1399号信达大厦21楼A座</t>
    </r>
  </si>
  <si>
    <t>BOFFI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</si>
  <si>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联络:Michele Natale
We chat 微信：
Tel. 电话：12124318282
Mal.邮箱：michelen@boffiusa.com
Ad. 地址：Room 104-106,First Floor of Fu Xin Park Complex Building, No.2A of Gao Lan Road, HuangPu District, Shanghai.
Web.网址：www.boffi-soho.com
</t>
    </r>
  </si>
  <si>
    <t>厨房
卫生间</t>
  </si>
  <si>
    <t>BS-系统
（结构系统、屋面系统、
墙面系统）</t>
  </si>
  <si>
    <t>BUTLER</t>
  </si>
  <si>
    <t>Contact 联络：
We chat 微信：
Tel. 电话：+862965651717
Mal.邮箱：
Ad. 地址：西安市高新区定坤池二路西端1号
Web.网址：www.butlermfg.com.cn</t>
  </si>
  <si>
    <t xml:space="preserve">建筑Architecture 
</t>
  </si>
  <si>
    <t xml:space="preserve">建筑幕墙
建筑屋面
</t>
  </si>
  <si>
    <t>BWT博威特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</si>
  <si>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电话：400-698-6588
Mal.邮箱：BWT_VIP@BWTJS.COM
Ad. 地址：江苏省无锡市锡山区新达路98号
</t>
    </r>
    <r>
      <rPr>
        <rFont val="Arial"/>
        <color theme="1"/>
        <sz val="11.0"/>
      </rPr>
      <t>Web. 网站：www.bwtmetal.com</t>
    </r>
  </si>
  <si>
    <t>室内吊顶
背景墙面
建筑外立面</t>
  </si>
  <si>
    <t>尺寸：1500mm×6000mm
板材厚度：0.5-5.0mm(室内常规0.8、1.0、1.2、1.5;
                                     外墙1.5、2.0、3.0)</t>
  </si>
  <si>
    <t>CAMBRIDGE ARCHITECTURE MESH</t>
  </si>
  <si>
    <t>Contact 联络：
We chat 微信：
Tel. 电话：8668062385
Mal.邮箱：sales@CambridgeArchitectural.com
Ad. 地址：
Web.网址：CambridgeArchitectural.com</t>
  </si>
  <si>
    <t xml:space="preserve">建筑Architecture 
室内Interior 
</t>
  </si>
  <si>
    <t>建筑外立面
室内装饰</t>
  </si>
  <si>
    <t>CAMINO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</si>
  <si>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
We chat 微信：
Tel. 电话：
Mal.邮箱：
Ad. 地址：
Web.网址：www.camino.biz
</t>
    </r>
  </si>
  <si>
    <t>品种多
风格：小清新</t>
  </si>
  <si>
    <t>GL-玻璃</t>
  </si>
  <si>
    <t>CERO-SOLARLUX</t>
  </si>
  <si>
    <t>Contact 联络：
We chat 微信：
Tel. 电话：
Mal.邮箱：
Ad. 地址：
Web.网址：www.cero.systems</t>
  </si>
  <si>
    <t>玻璃幕墙</t>
  </si>
  <si>
    <t>CLESTRA</t>
  </si>
  <si>
    <t>Contact 联络：魏方旭
We chat 微信：
Tel. 电话：862161250280
Mal.邮箱：d.wei@clestra.cn
Ad. 地址：上海市普陀区大渡河路168弄
Web.网址：www.clestra.com</t>
  </si>
  <si>
    <t>室内玻璃隔断</t>
  </si>
  <si>
    <t>PTS-隔断系统</t>
  </si>
  <si>
    <t>CRAFT</t>
  </si>
  <si>
    <t>Contact 联络：
We chat 微信：
Tel. 电话:0086-21-62918418
Mal.邮箱：
Ad. 地址：上海市青浦区青平公路3271号2栋1-10号
Web.网址：www.jcrafthk.com</t>
  </si>
  <si>
    <t>移动隔断</t>
  </si>
  <si>
    <t>CRICURSA (西班牙）</t>
  </si>
  <si>
    <t>Contact 联络：朱容瑩
We chat 微信：Letiza Chu 朱容瑩
Tel. 电话：+34609754476
                 +85251494832
Mal.邮箱：1chu@cricursa.com
Ad. 地址：C/ Camí de Can Ferran s/n
Pol. Ind. Coll de la Manya.
Web.网址：www.cricursa.com</t>
  </si>
  <si>
    <t>建筑幕墙</t>
  </si>
  <si>
    <t xml:space="preserve">PC-墙板
HR-扶手
MT-金属
</t>
  </si>
  <si>
    <t>CS-ACROVYN
CS-PEDISTYSTEMS
CS-LATHAM
CS-EXPANSION JOINT COVERS</t>
  </si>
  <si>
    <t>Contact 联络：
We chat 微信：
Tel. 电话：021-33634340；021-33686922
Mal.邮箱：
Ad. 地址:上海徐汇区裕德路168号2608室
Web.网址：www.c-sgroup.com</t>
  </si>
  <si>
    <t>室内interior</t>
  </si>
  <si>
    <t>室内墙体
地面</t>
  </si>
  <si>
    <t>薄板：1200mmx3050mm
未封边护墙板：1220mmx3050mm
封边护墙板：1220mmx3050mm</t>
  </si>
  <si>
    <t xml:space="preserve">~FU-家具
</t>
  </si>
  <si>
    <t>DEBEL</t>
  </si>
  <si>
    <t>Contact 联络：宫嘉蔚
We chat 微信：
Tel. 电话：13929915755
Mal.邮箱：xm@debellhome.com
Ad. 地址:广州市番禺区迎宾路179号时代创意园B101
Web.网址：www.debelhome.com</t>
  </si>
  <si>
    <t>学校宿舍</t>
  </si>
  <si>
    <t>DEBO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</si>
  <si>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联络：陈怡卓
We chat 微信：
Tel. 电话：13902946293
Mal.邮箱：maxchen@risewell.cn
Ad. 地址：深圳市福田区彩田路中银大厦B座8楼
Web.网址：www.risewell.cn
                www.decorativeboards.com
</t>
    </r>
  </si>
  <si>
    <t xml:space="preserve">卫生间隔断
</t>
  </si>
  <si>
    <t>~GL-玻璃</t>
  </si>
  <si>
    <t>DEKO FG</t>
  </si>
  <si>
    <t>Contact 联络：刘湘彦
We chat 微信：
Tel. 电话：+862151698699
Mal.邮箱：coco.liu@dekocn.com
Ad. 地址：上海市福山路33号建工大厦6楼
Web.网址：www.dekocn.com</t>
  </si>
  <si>
    <t>隔断墙</t>
  </si>
  <si>
    <t>GL-玻璃
(Closed Cavity Facade封闭式双层幕墙）</t>
  </si>
  <si>
    <t>DS-PLAN</t>
  </si>
  <si>
    <r>
      <rPr>
        <rFont val="Arial"/>
        <color theme="1"/>
        <sz val="11.0"/>
      </rPr>
      <t>Contact 联络：
We chat 微信：
Tel. 电话：
Mal.邮箱：info@ds-plan.com
Ad. 地址：
Web.网址：</t>
    </r>
    <r>
      <rPr>
        <rFont val="Arial"/>
        <color rgb="FF1155CC"/>
        <sz val="11.0"/>
        <u/>
      </rPr>
      <t>www.ds-plan.com</t>
    </r>
  </si>
  <si>
    <t xml:space="preserve">建筑Architecture
</t>
  </si>
  <si>
    <t>建筑外立面
窗户</t>
  </si>
  <si>
    <t>DUPONT杜邦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</si>
  <si>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电话：(86-21)3862-2888
Mal.邮箱：
Ad. 地址：上海市浦东新区张江高科科技园区
</t>
    </r>
    <r>
      <rPr>
        <rFont val="Arial"/>
        <color theme="1"/>
        <sz val="11.0"/>
      </rPr>
      <t>Web.网址：www.sentryglas.com</t>
    </r>
  </si>
  <si>
    <t>~MTP-金属板</t>
  </si>
  <si>
    <t>ELZINC</t>
  </si>
  <si>
    <t>Contact 联络：
We chat 微信：
Tel. 电话：+34985676000
Mal.邮箱：elzinc@aslazinc.com
Ad. 地址：
Web.网址：www.elzinc.es</t>
  </si>
  <si>
    <t xml:space="preserve">建筑外立面
</t>
  </si>
  <si>
    <t>ERCO</t>
  </si>
  <si>
    <t>Contact 联络：沈迎九
We chat 微信：
Tel. 电话：+86 13585811119
Mal.邮箱：s.shen@erco.com
Ad. 地址：上海静安区常德路800号八佰秀9号楼102室
Web.网址：https://www.erco.com/en/</t>
  </si>
  <si>
    <t>FLO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</si>
  <si>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电话：1300931927
Mal.邮箱：info@cbsproducts.com.cn
Ad. 地址：
Web.网址：https://www.hermanmiller.com/zh_cn/products/accessories/technology-support/flo/
</t>
    </r>
  </si>
  <si>
    <t>电脑支架</t>
  </si>
  <si>
    <t>PT-涂料</t>
  </si>
  <si>
    <t>FLUROPON</t>
  </si>
  <si>
    <t>Contact 联络：
We chat 微信：
Tel. 电话：+86 2160560999
Mal.邮箱：
Ad. 地址：上海市闸北区江杨三路168号
Web.网址：</t>
  </si>
  <si>
    <t>FOREST-U GLASS</t>
  </si>
  <si>
    <t xml:space="preserve">Contact 联络： 刘建波
We chat 微信：U玻福瑞斯特
Tel. 电话：13728815404
Mal.邮箱：13728815404@163.com
Ad. 地址：上海市吴中路1065号永滕大厦609A
</t>
  </si>
  <si>
    <t>FOUNDATIONS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</si>
  <si>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电话：+13307225033
Mal.邮箱：
Ad. 地址：
Web.网址：www.foundations.com
</t>
    </r>
  </si>
  <si>
    <t>FREE SKY（大风实验室）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</si>
  <si>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联络：杨先生
We chat 微信：
Tel. 电话：4008739299；021-57700036
Mal.邮箱：info@cbsproducts.com.cn
Ad. 地址：上海市松江区玉佳西路66号
Web.网址：www.dflab.com.cn
</t>
    </r>
  </si>
  <si>
    <t>学校实验室</t>
  </si>
  <si>
    <t>G-CRYSTAL</t>
  </si>
  <si>
    <t>Contact 联络：陶绪清
We chat 微信：
Tel. 电话：18678216568
                 0533-2896888
Mal.邮箱：taoxuqing@cnggg.cn
Ad. 地址：山东省淄博市高新技术开发区金晶大道北首
Web.网址：http://www.cnggg.cn</t>
  </si>
  <si>
    <t xml:space="preserve">1.建筑超白：22mm,25mm超厚、18米超长
2.减反射玻璃：5000mm*3300mm ; 
厚度：3-19mm
3.超大超厚玻璃:18000*3660mm;
厚度15-25mm
4.太阳能超白玻璃:尺寸可根据客户定尺生产;
可提供的厚度：1.8mm-6mm 
5.颜色玻璃：3660*3300mm；厚度：3-12mm
6.优质浮法玻璃：尺寸可根据客户定尺生产
可提供厚度：1.6mm到6mm
</t>
  </si>
  <si>
    <t xml:space="preserve">颜色玻璃：920*1016mm
</t>
  </si>
  <si>
    <t>~WDS-门窗系统</t>
  </si>
  <si>
    <t>GEZE</t>
  </si>
  <si>
    <t>Contact 联络：
We chat 微信：
Tel. 电话：+86（0）21-52340960
Mal.邮箱：chinasales@geze.com.cn
Ad. 地址：上海市杨高南路428号由由世纪广场2号楼11层D单元
Web.网址：www.geze.com.cn</t>
  </si>
  <si>
    <t>~PTS-隔断系统</t>
  </si>
  <si>
    <t>GOMANY格满林</t>
  </si>
  <si>
    <t>Contact 联络：
We chat 微信：
Tel. 电话：021-62361147
Mal.邮箱：
Ad. 地址：上海市延安西路2299号世贸商城2110室
Web.网址：www.appletree.com.cn</t>
  </si>
  <si>
    <t>钢制隔断
玻璃隔断
自立式隔断
卫生间隔断
门系列</t>
  </si>
  <si>
    <t>HANSK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</si>
  <si>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联络:妮可（蔡芳芳)
We chat 微信：
Tel. 电话：+86 13585685848
Mal.邮箱：order@awardint.com
Ad. 地址：上海市松江区广富林路4855弄86栋501室
Web.网址：www.hansk.se
</t>
    </r>
  </si>
  <si>
    <t>座椅；餐桌；沙发；咖啡桌；扶手椅；餐边柜；酒柜；电视柜</t>
  </si>
  <si>
    <t>~PT-涂料（可书写）</t>
  </si>
  <si>
    <t>HIPAINT易涂</t>
  </si>
  <si>
    <t>Contact 联络：
We chat 微信：
Tel. 电话：400-044-7747
Mal.邮箱：info@hipaint.com
Ad. 地址：上海市宜山路700号A4栋
Web.网址：www.hipaint.com</t>
  </si>
  <si>
    <t>室内墙面</t>
  </si>
  <si>
    <t>HOHENLOHER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</si>
  <si>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
Mal.邮箱：ib@hohenloher.de
Ad. 地址：
Web.网址：www.hohenloher.com
</t>
    </r>
  </si>
  <si>
    <t>实验室</t>
  </si>
  <si>
    <t>~MT-金属</t>
  </si>
  <si>
    <t>IAMDESIGN</t>
  </si>
  <si>
    <t>Contact 联络：
We chat 微信：
Tel. 电话：+390445580580
Mal.邮箱：info@iamdesign.com
Ad. 地址：
Web.网址：www.iamdesign.com</t>
  </si>
  <si>
    <t>楼梯</t>
  </si>
  <si>
    <r>
      <rPr>
        <rFont val="Arial"/>
        <color theme="1"/>
        <sz val="11.0"/>
      </rPr>
      <t>CPT-</t>
    </r>
    <r>
      <rPr>
        <rFont val="Verdana"/>
        <color theme="1"/>
        <sz val="11.0"/>
      </rPr>
      <t xml:space="preserve">地毯
LVT-半硬质片材塑胶地板
</t>
    </r>
    <r>
      <rPr>
        <rFont val="Arial"/>
        <color rgb="FF0000FF"/>
        <sz val="11.0"/>
      </rPr>
      <t>CF-陶瓷岩板</t>
    </r>
  </si>
  <si>
    <r>
      <rPr>
        <rFont val="Arial"/>
        <color theme="1"/>
        <sz val="11.0"/>
      </rPr>
      <t xml:space="preserve">INTERFACE </t>
    </r>
    <r>
      <rPr>
        <rFont val="Verdana"/>
        <color theme="1"/>
        <sz val="11.0"/>
      </rPr>
      <t>英特飞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</si>
  <si>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</si>
  <si>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联络：范健怡 </t>
    </r>
    <r>
      <rPr>
        <rFont val="Verdana"/>
        <color theme="1"/>
        <sz val="11.0"/>
      </rPr>
      <t xml:space="preserve">Jenny Fan
We chat 微信：je_459351097
Tel. 电话：17317598890
Mal.邮箱：jennyfan@modularspacegroup.com
Ad. 地址：美迪乐（上海）贸易有限公司
200040上海市北京西路1399号信达大厦21楼A座
</t>
    </r>
    <r>
      <rPr>
        <rFont val="Arial"/>
        <color theme="1"/>
        <sz val="11.0"/>
      </rPr>
      <t xml:space="preserve">Web.网址：www.infinitysurfaces.it
                   </t>
    </r>
    <r>
      <rPr>
        <rFont val="Arial"/>
        <color rgb="FF1155CC"/>
        <sz val="11.0"/>
        <u/>
      </rPr>
      <t>www.infinitysurfaces.cn</t>
    </r>
  </si>
  <si>
    <t>室内墙面
室内地面</t>
  </si>
  <si>
    <t>CR-陶瓷</t>
  </si>
  <si>
    <t>KENZAN</t>
  </si>
  <si>
    <t>Contact 联络：
We chat 微信：
Tel. 电话：64695058
Mal.邮箱：yy@kenzan-yakimono.com
Ad. 地址： 上海市闵行区漕宝路1108号406室
Web.网址：www.kenzan-yakimono.com</t>
  </si>
  <si>
    <t>室内墙面装饰</t>
  </si>
  <si>
    <t>KOKUYO-BRACKETS</t>
  </si>
  <si>
    <t>Contact 联络：
We chat 微信：
Tel. 电话：
Mal.邮箱:
Ad. 地址：
Web.网址：www.kokuyo-furniture.co.jp</t>
  </si>
  <si>
    <t>办公空间
学校</t>
  </si>
  <si>
    <t>KREON</t>
  </si>
  <si>
    <t>Contact 联络：
We chat 微信：
Tel. 电话:
Mal.邮箱：
Ad. 地址：
Web.网址：www.v-supply.cn</t>
  </si>
  <si>
    <t>~TL-瓷砖</t>
  </si>
  <si>
    <t>KRION</t>
  </si>
  <si>
    <t>Contact 联络：Yan Luo
We chat 微信：
Tel. 电话：+86-21-31615022
Mal.邮箱：yan.luo@porcelanosagrupo.com
Ad. 地址：Unit 204,No 457 Jumen Road, Bridge 8, Phase IV, Huangpu District, Shanghai 
Web.网址：www.ntma.com</t>
  </si>
  <si>
    <t>KUBERIT</t>
  </si>
  <si>
    <t>Contact 联络：
We chat 微信：
Tel. 电话：+49 2351 9507-0
Mal.邮箱：kueberit@kueberit.com
Ad. 地址：
Web.网址：www.kueberit.com</t>
  </si>
  <si>
    <t>FLS-地坪系统
-胶粘剂
PT-涂料</t>
  </si>
  <si>
    <t>LATICRETE雷帝国际</t>
  </si>
  <si>
    <t>Contact 联络：魏晓丽
We chat 微信：
Tel. 电话：(86-21)57893300
Mal.邮箱：
Ad. 地址：上海市松江区新滨工业园区浩海路309号
Web.网址：www.laticrete.com</t>
  </si>
  <si>
    <t>室内地面维护</t>
  </si>
  <si>
    <r>
      <rPr>
        <rFont val="Arial"/>
        <color rgb="FF0000FF"/>
        <sz val="11.0"/>
      </rPr>
      <t>SS-</t>
    </r>
    <r>
      <rPr>
        <rFont val="Verdana"/>
        <color rgb="FF0000FF"/>
        <sz val="11.0"/>
      </rPr>
      <t>插座开关</t>
    </r>
  </si>
  <si>
    <t>Legrand 罗格朗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</si>
  <si>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</si>
  <si>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>联络：刘九昌Jeff</t>
    </r>
    <r>
      <rPr>
        <rFont val="Verdana"/>
        <color theme="1"/>
        <sz val="11.0"/>
      </rPr>
      <t xml:space="preserve">
微信：liujiuchang_Jeff</t>
    </r>
    <r>
      <rPr>
        <rFont val="Arial"/>
        <color theme="1"/>
        <sz val="11.0"/>
      </rPr>
      <t xml:space="preserve">
Tel. 电话：0752-2529999
Mal.邮箱：
Ad. 地址：广州省惠州市仲恺高新区和畅六路东39号B1-B3厂房
Web.网址：www.tcllegrand.com.cn</t>
    </r>
  </si>
  <si>
    <t>~PVC-塑胶地板</t>
  </si>
  <si>
    <t>LG HAUSYS</t>
  </si>
  <si>
    <r>
      <rPr>
        <rFont val="Arial"/>
        <color theme="1"/>
        <sz val="11.0"/>
      </rPr>
      <t xml:space="preserve">Contact 联络：范健怡 </t>
    </r>
    <r>
      <rPr>
        <rFont val="Verdana"/>
        <color theme="1"/>
        <sz val="11.0"/>
      </rPr>
      <t xml:space="preserve">Jenny Fan
We chat 微信：je_459351097
Tel. 电话：17317598890
Mal.邮箱：
Ad. 地址：上海市徐汇区虹桥路777号汇京国际广场10F
</t>
    </r>
    <r>
      <rPr>
        <rFont val="Arial"/>
        <color theme="1"/>
        <sz val="11.0"/>
      </rPr>
      <t>Web.网址：www.lghausyschina.com</t>
    </r>
  </si>
  <si>
    <t>娱乐室
教室
走廊
幼儿园</t>
  </si>
  <si>
    <t>~WDF（Sport）
-木地板（含运动）</t>
  </si>
  <si>
    <t>LICO</t>
  </si>
  <si>
    <t>Contact 联络：
We chat 微信：
Tel. 电话：+41(0)818503838
Mal.邮箱：info@lico.ch
Ad. 地址：
Web.网址：www.lico.ch</t>
  </si>
  <si>
    <t>软木复合地板：915×305×10.5mm
亚麻复合地板：915×305×10mm
LVT复合地板：915×305×9.8mm
彩印软木复合地板：915×305×11mm
牛皮复合地板：915×305×10.5mm
石材复合地板：1235×305×11mm
GIKO LI复合地板：1200×600×12mm
                               600×600×14mm</t>
  </si>
  <si>
    <t>PC-墙板
（PPS 强力结构7层插线板；
LGP聚酯碳酸实心板；LUG U型中空锁扣板；LGC聚碳酸酯中空板）</t>
  </si>
  <si>
    <t>LIXIN厉新</t>
  </si>
  <si>
    <t>Contact 联络：何宗武
QQ：260475692
Tel. 电话：0573-87789698
Mal.邮箱：mark@gensin-co.com
Ad. 地址：浙江省海宁市斜桥工业园区新光路6号
Web.网址：www.gensin.com</t>
  </si>
  <si>
    <t>建筑外立面
室内隔断
温室</t>
  </si>
  <si>
    <t xml:space="preserve">PPS:6000L×500W（mm);1200L×500W(mm)；
特殊定制长度不限
LGP:板材厚度0.8-1.5mm ——宽度≤1220mm
        板材厚度1.5-3.0mm——宽度≤2100mm
LUG，LGC参考官网标准尺寸
*特殊定制长度不限
</t>
  </si>
  <si>
    <t>LOCKWOOD</t>
  </si>
  <si>
    <t>Contact 联络：
We chat 微信：
Tel. 电话：
Mal.邮箱：info.nz@assaabloy.com
Ad. 地址：
Web.网址：www.lockweb.com.au</t>
  </si>
  <si>
    <t>DOOR CLOSER闭门器</t>
  </si>
  <si>
    <t>LOUVERS</t>
  </si>
  <si>
    <t>Contact 联络：
We chat 微信：
Tel. 电话：
Mal.邮箱：
Ad. 地址：
Web.网址：www.c-sgroup.com</t>
  </si>
  <si>
    <t>FLM-膜</t>
  </si>
  <si>
    <t>MAKMAX-ETFE</t>
  </si>
  <si>
    <t xml:space="preserve">Contact 联络：
We chat 微信：
Tel. 电话：
Mal.邮箱：
Ad. 地址：
Web.网址：www.makmax.com </t>
  </si>
  <si>
    <t>屋面
建筑外立面</t>
  </si>
  <si>
    <t>⭐~FU-家具</t>
  </si>
  <si>
    <t>MOLTENI&amp;C</t>
  </si>
  <si>
    <t>Contact 联络：
We chat 微信：
Tel. 电话：+390362359.1
Mal.邮箱：customer.service@molteni.it
Ad. 地址：
Web.网址：www.molteni.it</t>
  </si>
  <si>
    <t>风格：现代，略显奢华</t>
  </si>
  <si>
    <t>MOSA</t>
  </si>
  <si>
    <r>
      <rPr>
        <rFont val="Arial"/>
        <color theme="1"/>
        <sz val="11.0"/>
      </rPr>
      <t>Contact 联络：
We chat 微信
Tel. 电话：64695058
Mal.邮箱：
Ad. 地址：上海市闵行区漕宝路1108号406室
Web.网</t>
    </r>
    <r>
      <rPr>
        <rFont val="Arial"/>
        <color rgb="FF000000"/>
        <sz val="11.0"/>
      </rPr>
      <t>址</t>
    </r>
    <r>
      <rPr>
        <rFont val="Arial"/>
        <color theme="1"/>
        <sz val="11.0"/>
      </rPr>
      <t>：www.haomyintile.com</t>
    </r>
  </si>
  <si>
    <t>MOVEO</t>
  </si>
  <si>
    <t>Contact 联络：
We chat 微信：
Tel. 电话:（021）53850022
Mal.邮箱：
Ad. 地址：
Web.网址：www.dorma.com.cn</t>
  </si>
  <si>
    <t>MR PERSWALL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</si>
  <si>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
We chat 微信：
Tel. 电话：0512-67991001
Mal.邮箱：
Ad. 地址：苏州市工业园区东长路88号2.5产业园A1-2F
Web.网址：www.wallvision.cn
                </t>
    </r>
    <r>
      <rPr>
        <rFont val="Verdana"/>
        <color rgb="FF1155CC"/>
        <sz val="11.0"/>
        <u/>
      </rPr>
      <t>www.mrperswall.com</t>
    </r>
    <r>
      <rPr>
        <rFont val="Verdana"/>
        <color theme="1"/>
        <sz val="11.0"/>
      </rPr>
      <t xml:space="preserve">
</t>
    </r>
  </si>
  <si>
    <t>壁画</t>
  </si>
  <si>
    <t>PT-涂料（可书写）</t>
  </si>
  <si>
    <r>
      <rPr>
        <rFont val="stylus bt"/>
        <color theme="1"/>
        <sz val="11.0"/>
      </rPr>
      <t xml:space="preserve">NATTINESS </t>
    </r>
    <r>
      <rPr>
        <rFont val="Verdana"/>
        <color theme="1"/>
        <sz val="11.0"/>
      </rPr>
      <t>耐霆</t>
    </r>
    <r>
      <rPr>
        <rFont val="Verdana"/>
        <color theme="1"/>
        <sz val="11.0"/>
      </rPr>
      <t xml:space="preserve"> </t>
    </r>
    <r>
      <rPr>
        <rFont val="Verdana"/>
        <color theme="1"/>
        <sz val="11.0"/>
      </rPr>
      <t>（美国）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</si>
  <si>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</si>
  <si>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联络：李玮一
We chat 微信：
Tel. 电话：4006828638
Mal.邮箱：
Ad. 地址：Suite E503, E-Park, Mao Gang Road, Huangpu District, GuangZhou,China
Web.网址：www.nattiness.com</t>
  </si>
  <si>
    <t>~RBF-橡胶地板</t>
  </si>
  <si>
    <t>NORA诺拉</t>
  </si>
  <si>
    <t>Contact 联络：
We chat 微信：
Tel. 电话：+86 21 3226 0077
Mal.邮箱：info.cn@nora.com
Ad. 地址：上海市延安西路1566号龙峰大厦10AB室
Web.网址：www.nora.com.cn</t>
  </si>
  <si>
    <t>NORVANIVEL</t>
  </si>
  <si>
    <t>Contact 联络：
We chat 微信：
Tel. 电话：1300368010
Mal.邮箱：deu@asi.com.au
Ad. 地址:
Web.网址：www.norvanivel.com</t>
  </si>
  <si>
    <t>学校</t>
  </si>
  <si>
    <t>NOVAH EDU诺梵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</si>
  <si>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联络：陈怡卓
We chat 微信：
Tel. 电话：021-63932688
Mal.邮箱：
Ad. 地址：上海市静安区万荣路700号大宁中心广场A5幢
Web.网址：www.novah.cn
</t>
    </r>
  </si>
  <si>
    <t>教室</t>
  </si>
  <si>
    <t>NOVO WORKSTYLE诺浩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</si>
  <si>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电话：+86-21 6280 5811
Mal.邮箱：
Ad. 地址：上海市徐汇区虹桥路3号港汇中心二座2704-07单元
Web.网址：https://www.novowsc.com/zh/about/
</t>
    </r>
  </si>
  <si>
    <t>办公室</t>
  </si>
  <si>
    <t>NOWOFOL</t>
  </si>
  <si>
    <t>Contact 联络：
We chat 微信：
Tel. 电话：
Mal.邮箱：
Ad. 地址:
Web.网址：www.etfe-film.com
                   www.nowofol.com</t>
  </si>
  <si>
    <t>建筑外墙</t>
  </si>
  <si>
    <t>最大门幅：1550mm~1600mm
最大卷长：3000m</t>
  </si>
  <si>
    <t>最小门幅：25mm</t>
  </si>
  <si>
    <t>~TER-水磨石</t>
  </si>
  <si>
    <t>NTMA</t>
  </si>
  <si>
    <t>Contact 联络：魏晓丽
We chat 微信：
Tel. 电话：800 323 9736
Mal.邮箱：info@ntma.com
Ad. 地址：
Web.网址：www.ntma.com</t>
  </si>
  <si>
    <t>OBSPACE奥巴斯</t>
  </si>
  <si>
    <t>Contact 联络：唐亮
We chat 微信：
Tel. 电话:13917473973
Mal.邮箱：Tony_tang@obspace.com.cn
Ad. 地址：上海市静安区延安中路841号东方海外大厦1202室
Web.网址：www.obspace.cn</t>
  </si>
  <si>
    <t>钢铝隔断</t>
  </si>
  <si>
    <t>~WDF-木地板
~WV-木饰面板</t>
  </si>
  <si>
    <t>PARKLEX(怕莱斯）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</si>
  <si>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联络：张佳俊
We chat 微信：
Tel. 电话：18616307615
Mal.邮箱：zhangjiajun@jumy.com.cn
Ad. 地址：上海市杨浦区国康路46号405室
</t>
    </r>
    <r>
      <rPr>
        <rFont val="Arial"/>
        <color theme="1"/>
        <sz val="11.0"/>
      </rPr>
      <t>Web.网址：www.jumy.com.cn</t>
    </r>
  </si>
  <si>
    <t xml:space="preserve">建筑Architecture
室内Interior </t>
  </si>
  <si>
    <t xml:space="preserve">外幕墙板
户外木质地板
吊顶、内墙用板
</t>
  </si>
  <si>
    <t>⭐PT-涂料</t>
  </si>
  <si>
    <t>PASSTON派斯盾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</si>
  <si>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电话：0513-8110-0893
Mal.邮箱：chongan@passton.cn
Ad. 地址：江苏省南通市崇川区崇川路79号国际青创园1号楼1202
</t>
    </r>
    <r>
      <rPr>
        <rFont val="Arial"/>
        <color theme="1"/>
        <sz val="11.0"/>
      </rPr>
      <t>Web. 网站：www.passton.cn</t>
    </r>
  </si>
  <si>
    <t>建筑外墙
室内</t>
  </si>
  <si>
    <t>PCLOCS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</si>
  <si>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
Mal.邮箱：
Ad. 地址：
Web.网址：www.pclocs.com.au
</t>
    </r>
  </si>
  <si>
    <t>电子产品充电储物箱</t>
  </si>
  <si>
    <t>POLYVISION</t>
  </si>
  <si>
    <t>Contact 联络：
We chat 微信：
Tel. 电话：
Mal.邮箱:APACsupport@polyvision.com
Ad. 地址：
Web.网址：www.polyvision.com</t>
  </si>
  <si>
    <t>面板系统</t>
  </si>
  <si>
    <t>PORCELANOSA 宝瓷兰</t>
  </si>
  <si>
    <r>
      <rPr>
        <rFont val="Arial"/>
        <color theme="1"/>
        <sz val="11.0"/>
      </rPr>
      <t xml:space="preserve">Contact 联络：邹希琼
We chat 微信：
Tel. 电话：+41(0)818503838
Mal.邮箱：ophelia.zou@porcelanosagrupo.com
Ad. 地址：上海市黄浦区局门路457号8号桥四期204室
Web.网址：www.porcelanosa-asia.com
                   </t>
    </r>
    <r>
      <rPr>
        <rFont val="Arial"/>
        <color rgb="FF1155CC"/>
        <sz val="11.0"/>
        <u/>
      </rPr>
      <t>www.urbatek.com</t>
    </r>
  </si>
  <si>
    <t>建筑外立面
室内墙面装饰
室内地面</t>
  </si>
  <si>
    <t>PPG-DURANAR</t>
  </si>
  <si>
    <t>Contact 联络：
We chat 微信：
Tel. 电话：
Mal.邮箱：coexcoating@ppg.com
Ad. 地址：
Web.网址：www.ppgideascapes.com</t>
  </si>
  <si>
    <t>~MT-金属（密封系统）</t>
  </si>
  <si>
    <t>RAVEN雷文</t>
  </si>
  <si>
    <r>
      <rPr>
        <rFont val="Arial"/>
        <color theme="1"/>
        <sz val="11.0"/>
      </rPr>
      <t xml:space="preserve">Contact 联络：
We chat 微信：
Tel. 电话：+02158369676
Mal.邮箱：sales@ravenseals.com.cn
Ad. 地址：上海浦东南路855号
Web.网址：www.ravenseals.com.cn(中文网址）
                  </t>
    </r>
    <r>
      <rPr>
        <rFont val="Arial"/>
        <color rgb="FF000000"/>
        <sz val="11.0"/>
      </rPr>
      <t xml:space="preserve"> </t>
    </r>
    <r>
      <rPr>
        <rFont val="Arial"/>
        <color rgb="FF1155CC"/>
        <sz val="11.0"/>
        <u/>
      </rPr>
      <t>www.raven.com.au（英文网址）</t>
    </r>
  </si>
  <si>
    <t>⭐CB-水泥板</t>
  </si>
  <si>
    <t>RECKLI</t>
  </si>
  <si>
    <t>Contact 联络：向世昌
We chat 微信：
Tel. 电话：13641917736
                 +86 2158465315
Mal.邮箱：recklichina@163.com
Ad. 地址：上海浦东新区川沙新镇新园路398号
Web.网址：inspiration.reckli.com</t>
  </si>
  <si>
    <t>建筑Architecture 
室内Interior</t>
  </si>
  <si>
    <t>ROCHEBOBOIS罗奇堡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</si>
  <si>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
We chat 微信：
Tel. 电话：400-003-8338
Mal.邮箱：contact@roche-bobois.com.cn
Ad. 地址：
Web.网址：www.roche-bobois.com.cn
</t>
    </r>
  </si>
  <si>
    <r>
      <rPr>
        <rFont val="Arial"/>
        <color rgb="FFFF0000"/>
        <sz val="11.0"/>
      </rPr>
      <t>PC-</t>
    </r>
    <r>
      <rPr>
        <rFont val="Arial"/>
        <color rgb="FF0000FF"/>
        <sz val="11.0"/>
      </rPr>
      <t>墙板</t>
    </r>
  </si>
  <si>
    <t>RODECA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</si>
  <si>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电话：400-779-0116
Mal.邮箱：pcsheet@huili.com
Ad. 地址：上海市奉贤区金汇镇迎金路418号
</t>
    </r>
    <r>
      <rPr>
        <rFont val="Arial"/>
        <color theme="1"/>
        <sz val="11.0"/>
      </rPr>
      <t xml:space="preserve">Web.网址：www.huili-pcsheet.com
                   </t>
    </r>
    <r>
      <rPr>
        <rFont val="Arial"/>
        <color rgb="FF1155CC"/>
        <sz val="11.0"/>
        <u/>
      </rPr>
      <t>www.rodeca.de</t>
    </r>
  </si>
  <si>
    <t xml:space="preserve">建筑Architecture
室内Interior
</t>
  </si>
  <si>
    <t xml:space="preserve">建筑外墙
室内隔断
</t>
  </si>
  <si>
    <t>PC 2333-16-4:墙板宽度333（+1%/-1%）；
 PC 2333-20-4:墙板宽度333（+1%/-1%）；
PC 2530-4:墙板宽度500（+1%/-1%）
PC 2540-4/ 2540-7/2540-10:墙板宽度500（+1%/-1%）
PC 2550-10：墙板宽度495（+1%/-1%）
PC 2560-12: 墙板宽度500（+1%/-1%）
*长度均可定制</t>
  </si>
  <si>
    <t>~HW-五金</t>
  </si>
  <si>
    <t>ROTO</t>
  </si>
  <si>
    <t>Contact 联络：
We chat 微信：
Tel. 电话：86-1082950042/43/45/46
Mal.邮箱：rotochina@rotochina.com
Ad. 地址：北京市海淀区西三旗建材城东路8号
Web.网址：www.rotochina.com</t>
  </si>
  <si>
    <t>RUI TOMAS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</si>
  <si>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
We chat 微信：
Tel. 电话：+351261811811
Mal.邮箱：ruitomas@ruitomas.pt
Ad. 地址：
Web.网址：www.ruitomas.pt
</t>
    </r>
  </si>
  <si>
    <t>SCHLUTER</t>
  </si>
  <si>
    <t>Contact 联络：
We chat 微信：
Tel. 电话：800-472-4588
Mal.邮箱：
Ad. 地址：
Web.网址：www.schluter.com</t>
  </si>
  <si>
    <t>地面</t>
  </si>
  <si>
    <t>ALS-铝合金系统
(门系统；推拉系统；窗系统）</t>
  </si>
  <si>
    <t>SCHUCO</t>
  </si>
  <si>
    <t xml:space="preserve">Contact 联络：
We chat 微信：
Tel. 电话：+86 4006262168
Mal.邮箱：infocn@schueco.com
Ad. 地址：上海市长宁区江苏路398号舜元企业发展大厦A座28层
Web.网址：www.schueco.com.cn </t>
  </si>
  <si>
    <t>窗
入户门
推拉门
智能家居
阳光房
阳台</t>
  </si>
  <si>
    <t>SEBEL</t>
  </si>
  <si>
    <t>Contact 联络：
We chat 微信：
Tel. 电话：+61297802222
Mal.邮箱：sales@sebelfurniture.com
Ad. 地址:
Web.网址：www.sebelfurniture.com</t>
  </si>
  <si>
    <t>SELECTSPACE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</si>
  <si>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
Mal.邮箱：sales@selectspacepartitions.com
Ad. 地址：
Web.网址：www.selectspacepartitions.com
</t>
    </r>
  </si>
  <si>
    <t>室内Interior 
景观Lanscape</t>
  </si>
  <si>
    <t>PST-维护系统</t>
  </si>
  <si>
    <t>SKKAKEN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</si>
  <si>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
Mal.邮箱：
Ad. 地址：
</t>
    </r>
    <r>
      <rPr>
        <rFont val="Arial"/>
        <color theme="1"/>
        <sz val="11.0"/>
      </rPr>
      <t>Web. 网站：www.sk-kaken.co.jp</t>
    </r>
  </si>
  <si>
    <t>SOLARLUX</t>
  </si>
  <si>
    <t>Contact 联络：邓建国
We chat 微信：
Tel. 电话：13902266072; 0769-88877913
Mal.邮箱：andydeng@3innolux.com
Ad. 地址：东莞市高埗镇冼沙村高龙西路誉方科技园
Web.网址：www.3innolux.com</t>
  </si>
  <si>
    <t>门窗</t>
  </si>
  <si>
    <t>SOMFY</t>
  </si>
  <si>
    <r>
      <rPr>
        <rFont val="Arial"/>
        <color theme="1"/>
        <sz val="11.0"/>
      </rPr>
      <t xml:space="preserve">Contact 联络：
We chat 微信：
Tel. 电话：13917619392
Mal.邮箱：
Ad. 地址:上海华山路1520弄121号2楼
Web.网址：www.somfyarchitecture.com
                  </t>
    </r>
    <r>
      <rPr>
        <rFont val="Arial"/>
        <color rgb="FF000000"/>
        <sz val="11.0"/>
      </rPr>
      <t xml:space="preserve"> </t>
    </r>
    <r>
      <rPr>
        <rFont val="Arial"/>
        <color rgb="FF1155CC"/>
        <sz val="11.0"/>
        <u/>
      </rPr>
      <t>www.somfy.com</t>
    </r>
    <r>
      <rPr>
        <rFont val="Arial"/>
        <color theme="1"/>
        <sz val="11.0"/>
      </rPr>
      <t>.cn</t>
    </r>
  </si>
  <si>
    <t>室内Interior
景观lanscape</t>
  </si>
  <si>
    <t>室外电动遮阳
室内电动遮阳
智能楼宇遮阳</t>
  </si>
  <si>
    <t>STEELCASE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</si>
  <si>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</si>
  <si>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联络：cici
We chat 微信：
Tel. 电话：+85225200160
Mal.邮箱：
Ad. 地址：
Web.网址：www.steelcase.com（官方可下载模型）
</t>
    </r>
  </si>
  <si>
    <t>风格：现代、中规中矩</t>
  </si>
  <si>
    <t>STELLLAR WORKS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</si>
  <si>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联络:
We chat 微信：
Tel. 电话：
Mal.邮箱：info@stellarworks.com
Ad. 地址：
Web.网址：www.stellarworks.com
</t>
    </r>
  </si>
  <si>
    <r>
      <rPr>
        <rFont val="Arial, sans-serif"/>
        <color rgb="FF0000FF"/>
      </rPr>
      <t xml:space="preserve">~ACP-吸音板
</t>
    </r>
    <r>
      <rPr>
        <rFont val="Arial, sans-serif"/>
        <color rgb="FF000000"/>
      </rPr>
      <t>FB-软包
GB-石膏板
GF-玻纤板
MF-矿棉板
ALU-铝复合板</t>
    </r>
  </si>
  <si>
    <t>TIANYU天宇</t>
  </si>
  <si>
    <t>Contact 联络：
We chat 微信：
Tel. 电话：021-67627928
Mal.邮箱：info@tyjc88.com
Ad. 地址:上海市松江区九新公路818号
Web.网址：www.tyjc88.com</t>
  </si>
  <si>
    <t>室内吊顶
室内隔墙</t>
  </si>
  <si>
    <t>MEP-机电</t>
  </si>
  <si>
    <t>TROX妥思</t>
  </si>
  <si>
    <t>Contact 联络：
We chat 微信：
Tel. 电话：0512-67168869
Mal.邮箱：troxchn@troxchina.com
Ad. 地址：苏州工业园区娄葑北区阳澄湖大道创投工业坊46幢
Web.网址：www.troxchina.com</t>
  </si>
  <si>
    <t>气-水空调系统</t>
  </si>
  <si>
    <t>VISION威逊</t>
  </si>
  <si>
    <t>Contact 联络：
We chat 微信：
Tel. 电话：021-59546666
Mal.邮箱：v-supply@visioninc.cn
Ad. 地址：上海市嘉定工业区金兰路221号
Web.网址：www.v-supply.cn</t>
  </si>
  <si>
    <t>消防系统</t>
  </si>
  <si>
    <t>VITRA</t>
  </si>
  <si>
    <t>Contact 联络：
We chat 微信：
Tel. 电话：
Mal.邮箱:
Ad. 地址：
Web.网址：www.vitra.com</t>
  </si>
  <si>
    <t>Vitro Architectural Glass (formerly PPG Glass)</t>
  </si>
  <si>
    <t>Contact 联络：
We chat 微信：
Tel. 电话：
Mal.邮箱：
Ad. 地址：
Web.网址：https://www.vitroglazings.com/</t>
  </si>
  <si>
    <t>VONDOM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</si>
  <si>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联络：陈海龙
We chat 微信：
Tel. 电话：15221998168
Mal.邮箱：Matt@vondom.com
Ad. 地址：上海市静安区万荣路700号C6-103单元
Web.网址：www.vondom.com
</t>
    </r>
  </si>
  <si>
    <t>VWZINC</t>
  </si>
  <si>
    <t>Contact 联络：魏晓丽
We chat 微信：
Tel. 电话：13817862681
Mal.邮箱：
Ad. 地址：
Web.网址：www.vmzinc.com</t>
  </si>
  <si>
    <t>WALDMANN沃达迈</t>
  </si>
  <si>
    <t>联络：
We chat 微信：
Tel. 电话：+86 2151691799
Mal.邮箱：info-cn@waldmann.com
Ad. 地址：
Web.网址：www.waldmann.com</t>
  </si>
  <si>
    <r>
      <rPr>
        <rFont val="Arial"/>
        <color theme="1"/>
        <sz val="11.0"/>
      </rPr>
      <t>EPO-</t>
    </r>
    <r>
      <rPr>
        <rFont val="Verdana"/>
        <color theme="1"/>
        <sz val="11.0"/>
      </rPr>
      <t xml:space="preserve">环氧地板
TER-水磨石
</t>
    </r>
    <r>
      <rPr>
        <rFont val="Verdana"/>
        <color rgb="FF0000FF"/>
        <sz val="11.0"/>
      </rPr>
      <t>SLM-水泥基自流平</t>
    </r>
  </si>
  <si>
    <t>WEBER韦伯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</si>
  <si>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</si>
  <si>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联络：小跑
We chat 微信：
Tel. 电话：400 820 5813
Mal.邮箱：
Ad. 地址：上海市沪南公路9117号
Web.网址：www.cn.weber</t>
  </si>
  <si>
    <t>室内、地下车库地面</t>
  </si>
  <si>
    <t xml:space="preserve"> </t>
  </si>
  <si>
    <t>WENDELBO</t>
  </si>
  <si>
    <t>Contact 联络：
We chat 微信：
Tel. 电话：+45 87 400 800
Mal.邮箱:wmd@wendelbo.dk
Ad. 地址：
Web.网址：www.wendelbo.dk</t>
  </si>
  <si>
    <t>风格：现代简约；奢华</t>
  </si>
  <si>
    <t>WENGER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</si>
  <si>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联络：cici
We chat 微信：
Tel. 电话：021-52995971
Mal.邮箱：info@feiyemusic.com
Ad. 地址：上海市普陀区金沙江路1628弄绿洲中环中心5号楼803室
Web.网址：www.wengercorp.com
</t>
    </r>
  </si>
  <si>
    <t>音乐器材储物柜
音乐间</t>
  </si>
  <si>
    <t>WENGET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</si>
  <si>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电话：0015074554100
Mal.邮箱：
Ad. 地址：
Web.网址：www.wengercorp.com
</t>
    </r>
  </si>
  <si>
    <t>音乐座椅</t>
  </si>
  <si>
    <t>CCL-陶土
ST-石材</t>
  </si>
  <si>
    <t>WIENERBERGER</t>
  </si>
  <si>
    <t>Contact 联络：
We chat 微信：
Tel. 电话：32(0)52311010
Mal.邮箱：
Ad. 地址：
Web.网址：www.wienerberger.cn</t>
  </si>
  <si>
    <t>建筑Architecture
景观Lanscape</t>
  </si>
  <si>
    <t>建筑外立面
户外地面</t>
  </si>
  <si>
    <t xml:space="preserve">MT-金属
</t>
  </si>
  <si>
    <t>WLS韦尔森-SECCO</t>
  </si>
  <si>
    <r>
      <rPr>
        <rFont val="Arial"/>
        <color theme="1"/>
        <sz val="11.0"/>
      </rPr>
      <t>Contact 联络：徐庆虎
We chat 微信
Tel. 电话：+86 13671885667
                 +86  15801834897
Mal.邮箱：qinghu.xu@wls-china.com
Ad. 地址：上海七莘路1855号丽婴房大厦804
Web.网</t>
    </r>
    <r>
      <rPr>
        <rFont val="Arial"/>
        <color rgb="FF000000"/>
        <sz val="11.0"/>
      </rPr>
      <t>址</t>
    </r>
    <r>
      <rPr>
        <rFont val="Arial"/>
        <color theme="1"/>
        <sz val="11.0"/>
      </rPr>
      <t>：www.wls-china.com</t>
    </r>
  </si>
  <si>
    <t>钢制幕墙
门窗
隔断系统</t>
  </si>
  <si>
    <t>ACP-吸音板</t>
  </si>
  <si>
    <t>XOREL</t>
  </si>
  <si>
    <r>
      <rPr>
        <rFont val="Arial"/>
        <color theme="1"/>
        <sz val="11.0"/>
      </rPr>
      <t>Contact 联络：
We chat 微信
Tel. 电话：1-800-727-6770
Mal.邮箱：info@xorelartform.com
Ad. 地址：
Web.网</t>
    </r>
    <r>
      <rPr>
        <rFont val="Arial"/>
        <color rgb="FF000000"/>
        <sz val="11.0"/>
      </rPr>
      <t>址</t>
    </r>
    <r>
      <rPr>
        <rFont val="Arial"/>
        <color theme="1"/>
        <sz val="11.0"/>
      </rPr>
      <t>：www.xorelartform.com</t>
    </r>
  </si>
  <si>
    <t>室内墙体装饰</t>
  </si>
  <si>
    <t>WP-壁纸</t>
  </si>
  <si>
    <t>MONDO</t>
  </si>
  <si>
    <r>
      <rPr>
        <rFont val="Arial"/>
        <color theme="1"/>
        <sz val="11.0"/>
      </rPr>
      <t>Contact 联络：徐帆
We chat 微信
Tel. 电话：+86 13127593193
Mal.邮箱：calvinxu@mondochina.com.cn
Ad. 地址：河北省三河市燕郊高新区拥军路40号
Web.网</t>
    </r>
    <r>
      <rPr>
        <rFont val="Arial"/>
        <color rgb="FF000000"/>
        <sz val="11.0"/>
      </rPr>
      <t>址</t>
    </r>
    <r>
      <rPr>
        <rFont val="Arial"/>
        <color theme="1"/>
        <sz val="11.0"/>
      </rPr>
      <t>：www.mondochina.com.cn</t>
    </r>
  </si>
  <si>
    <r>
      <rPr>
        <rFont val="stylus bt"/>
        <color theme="1"/>
        <sz val="11.0"/>
      </rPr>
      <t>GP-</t>
    </r>
    <r>
      <rPr>
        <rFont val="Verdana"/>
        <color theme="1"/>
        <sz val="11.0"/>
      </rPr>
      <t>玻璃隔断</t>
    </r>
  </si>
  <si>
    <t>安耐美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</si>
  <si>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</si>
  <si>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联络：王先生</t>
    </r>
    <r>
      <rPr>
        <rFont val="Verdana"/>
        <color theme="1"/>
        <sz val="11.0"/>
      </rPr>
      <t xml:space="preserve">
WeChat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wxid_z8rx03ygy5hs22
Tel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13255172088</t>
    </r>
  </si>
  <si>
    <t>奥德堡索恩灯具控制资料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</si>
  <si>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</si>
  <si>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</si>
  <si>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r>
      <rPr>
        <rFont val="Arial"/>
        <color theme="1"/>
        <sz val="11.0"/>
      </rPr>
      <t>ACP-</t>
    </r>
    <r>
      <rPr>
        <rFont val="Verdana"/>
        <color theme="1"/>
        <sz val="11.0"/>
      </rPr>
      <t>吸音板</t>
    </r>
  </si>
  <si>
    <t>百家丽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</si>
  <si>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</si>
  <si>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
We chat 微信：
Tel. 电话：
Mal.邮箱：
Ad. 地址：
</t>
  </si>
  <si>
    <r>
      <rPr>
        <rFont val="stylus bt"/>
        <color theme="1"/>
        <sz val="11.0"/>
      </rPr>
      <t>MEP-</t>
    </r>
    <r>
      <rPr>
        <rFont val="Verdana"/>
        <color theme="1"/>
        <sz val="11.0"/>
      </rPr>
      <t>机电</t>
    </r>
  </si>
  <si>
    <t>臣工系统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</si>
  <si>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</si>
  <si>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</si>
  <si>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WDV-木皮</t>
  </si>
  <si>
    <t>德家艾居木皮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</si>
  <si>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</si>
  <si>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联络：方姗姗
We chat 微信：13331945177
Tel. 电话：13331945177
Mal.邮箱：912297868@qq.com
Ad. 地址：上海市青浦区朱家角康业路
399弄445号225室</t>
  </si>
  <si>
    <r>
      <rPr>
        <rFont val="stylus bt"/>
        <color theme="1"/>
        <sz val="11.0"/>
      </rPr>
      <t>ST-</t>
    </r>
    <r>
      <rPr>
        <rFont val="Verdana"/>
        <color theme="1"/>
        <sz val="11.0"/>
      </rPr>
      <t>石材</t>
    </r>
  </si>
  <si>
    <t>德赛斯岩板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</si>
  <si>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</si>
  <si>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联络：吴震元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Rain20100505
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</si>
  <si>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r>
      <rPr>
        <rFont val="Arial"/>
        <color theme="1"/>
        <sz val="11.0"/>
      </rPr>
      <t>EPO-</t>
    </r>
    <r>
      <rPr>
        <rFont val="Verdana"/>
        <color theme="1"/>
        <sz val="11.0"/>
      </rPr>
      <t>环氧地板
TER-水磨石
SLM-水泥基自流平</t>
    </r>
  </si>
  <si>
    <t>典跃控股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</si>
  <si>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</si>
  <si>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联络：袁野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微信：yuanye19900122</t>
    </r>
  </si>
  <si>
    <r>
      <rPr>
        <rFont val="stylus bt"/>
        <color theme="1"/>
        <sz val="11.0"/>
      </rPr>
      <t>TL-</t>
    </r>
    <r>
      <rPr>
        <rFont val="Verdana"/>
        <color theme="1"/>
        <sz val="11.0"/>
      </rPr>
      <t>瓷砖</t>
    </r>
  </si>
  <si>
    <t>东鹏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</si>
  <si>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</si>
  <si>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联络：郑美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</si>
  <si>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杜基灯膜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</si>
  <si>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</si>
  <si>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联络：季中建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ji394882627</t>
    </r>
  </si>
  <si>
    <t>飞利浦灯具控制资料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</si>
  <si>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</si>
  <si>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</si>
  <si>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t>RBF-橡胶地板</t>
  </si>
  <si>
    <t>高科橡胶地板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</si>
  <si>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</si>
  <si>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联络：武凯
We chat 微信：13002113820
Tel. 电话：13002113820
Mal.邮箱：Wukai630@163.com
Ad. 地址：上海捷匠建材有限公司
虹口区大连西路280号107室</t>
  </si>
  <si>
    <r>
      <rPr>
        <rFont val="stylus bt"/>
        <color theme="1"/>
        <sz val="11.0"/>
      </rPr>
      <t>TL-</t>
    </r>
    <r>
      <rPr>
        <rFont val="Verdana"/>
        <color theme="1"/>
        <sz val="11.0"/>
      </rPr>
      <t>瓷砖</t>
    </r>
  </si>
  <si>
    <t>冠军瓷砖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</si>
  <si>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</si>
  <si>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>Andrew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Andrew7815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13524065428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</si>
  <si>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t>华格照明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</si>
  <si>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</si>
  <si>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</si>
  <si>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t>ST-石材</t>
  </si>
  <si>
    <t>莱茵石业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</si>
  <si>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</si>
  <si>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联络：Leo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微信：stonemen1970</t>
    </r>
  </si>
  <si>
    <t>磊诺办公家具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</si>
  <si>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</si>
  <si>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Jerry
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</si>
  <si>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r>
      <rPr>
        <rFont val="stylus bt"/>
        <color theme="1"/>
        <sz val="11.0"/>
      </rPr>
      <t>GL-</t>
    </r>
    <r>
      <rPr>
        <rFont val="Verdana"/>
        <color theme="1"/>
        <sz val="11.0"/>
      </rPr>
      <t>玻璃</t>
    </r>
  </si>
  <si>
    <t>璃盟玻璃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</si>
  <si>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</si>
  <si>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联络：陈志海
We chat 微信：
Tel. 电话：18756385177
Mal.邮箱：
Ad. 地址：</t>
  </si>
  <si>
    <r>
      <rPr>
        <rFont val="stylus bt"/>
        <color theme="1"/>
        <sz val="11.0"/>
      </rPr>
      <t>PT-</t>
    </r>
    <r>
      <rPr>
        <rFont val="Verdana"/>
        <color theme="1"/>
        <sz val="11.0"/>
      </rPr>
      <t>涂料</t>
    </r>
  </si>
  <si>
    <t>立邦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</si>
  <si>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</si>
  <si>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
We chat 微信：
Tel. 电话：
Mal.邮箱：
Ad. 地址：</t>
  </si>
  <si>
    <r>
      <rPr>
        <rFont val="stylus bt"/>
        <color theme="1"/>
        <sz val="11.0"/>
      </rPr>
      <t>RBF-</t>
    </r>
    <r>
      <rPr>
        <rFont val="Verdana"/>
        <color theme="1"/>
        <sz val="11.0"/>
      </rPr>
      <t>橡胶地板</t>
    </r>
  </si>
  <si>
    <t>绿谷橡胶运功地板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</si>
  <si>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</si>
  <si>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联络：尹守真
We chat 微信：422245625
Tel. 电话：17760883624
Mal.邮箱：ysz1314tw@163.com
Ad. 地址：绿谷新材料有限公司
安徽省宁国市富宁北路安徽</t>
  </si>
  <si>
    <t>PL-防火板
CL-抗倍特</t>
  </si>
  <si>
    <t>邁蒂尼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</si>
  <si>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</si>
  <si>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联络：林芸曦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微信：linyunxi1401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</si>
  <si>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</si>
  <si>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t>美标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</si>
  <si>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</si>
  <si>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</si>
  <si>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r>
      <rPr>
        <rFont val="stylus bt"/>
        <color theme="1"/>
        <sz val="11.0"/>
      </rPr>
      <t>WDF-</t>
    </r>
    <r>
      <rPr>
        <rFont val="Verdana"/>
        <color theme="1"/>
        <sz val="11.0"/>
      </rPr>
      <t>木地板</t>
    </r>
  </si>
  <si>
    <t>民都运动木地板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</si>
  <si>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</si>
  <si>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联络：林文超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微信：wxid_fxxn1d3csd8112</t>
    </r>
  </si>
  <si>
    <t>TL-瓷砖</t>
  </si>
  <si>
    <t>欧恩利陶瓷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</si>
  <si>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</si>
  <si>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联络：王妍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15901936437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</si>
  <si>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 xml:space="preserve">赛艺高 SLIG FLOORING 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</si>
  <si>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</si>
  <si>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联络：马蕴秋
We chat 微信：babyblue78
Tel. 电话：13621399673
Mal.邮箱：babyblue78@126.com
Ad. 地址：深圳市龙岗区平湖街道一号路
宝能智创谷b座617</t>
  </si>
  <si>
    <r>
      <rPr>
        <rFont val="stylus bt"/>
        <color theme="1"/>
        <sz val="11.0"/>
      </rPr>
      <t>EPO-</t>
    </r>
    <r>
      <rPr>
        <rFont val="Verdana"/>
        <color theme="1"/>
        <sz val="11.0"/>
      </rPr>
      <t xml:space="preserve">环氧地板
</t>
    </r>
    <r>
      <rPr>
        <rFont val="Verdana"/>
        <color theme="1"/>
        <sz val="11.0"/>
      </rPr>
      <t>TER-</t>
    </r>
    <r>
      <rPr>
        <rFont val="Verdana"/>
        <color theme="1"/>
        <sz val="11.0"/>
      </rPr>
      <t xml:space="preserve">水磨石
</t>
    </r>
    <r>
      <rPr>
        <rFont val="Verdana"/>
        <color theme="1"/>
        <sz val="11.0"/>
      </rPr>
      <t>SLM-</t>
    </r>
    <r>
      <rPr>
        <rFont val="Verdana"/>
        <color theme="1"/>
        <sz val="11.0"/>
      </rPr>
      <t>水泥基自流平</t>
    </r>
  </si>
  <si>
    <t>上海朵颐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</si>
  <si>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</si>
  <si>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联络：曾燚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微信：zengxiaoyi888</t>
    </r>
  </si>
  <si>
    <r>
      <rPr>
        <rFont val="stylus bt"/>
        <color theme="1"/>
        <sz val="11.0"/>
      </rPr>
      <t>GL-</t>
    </r>
    <r>
      <rPr>
        <rFont val="Verdana"/>
        <color theme="1"/>
        <sz val="11.0"/>
      </rPr>
      <t>玻璃</t>
    </r>
  </si>
  <si>
    <t>上海戈仕玻璃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</si>
  <si>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</si>
  <si>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联络：徐丽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gsb17765148152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17765148152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</si>
  <si>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r>
      <rPr>
        <rFont val="stylus bt"/>
        <color theme="1"/>
        <sz val="11.0"/>
      </rPr>
      <t>ALU-</t>
    </r>
    <r>
      <rPr>
        <rFont val="Verdana"/>
        <color theme="1"/>
        <sz val="11.0"/>
      </rPr>
      <t>铝板</t>
    </r>
  </si>
  <si>
    <t>上海连扣建材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</si>
  <si>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</si>
  <si>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CB-水泥板</t>
  </si>
  <si>
    <t>上海星煜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</si>
  <si>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</si>
  <si>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</si>
  <si>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LVT-半硬质片材塑胶地板
SPC-石塑地板</t>
  </si>
  <si>
    <t>圣象地板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</si>
  <si>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</si>
  <si>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联络：倪培盛 NEIL
We chat 微信：18601659802
Tel. 电话：18601659802
Mal.邮箱：151726111@qq.com
Ad. 地址：上海市松江区涞亭南路89号14库</t>
  </si>
  <si>
    <t>WDF-木地板</t>
  </si>
  <si>
    <t>圣象地板（实木）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</si>
  <si>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</si>
  <si>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联络：大牛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微信：niu86365939</t>
    </r>
  </si>
  <si>
    <t>索恩灯具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</si>
  <si>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</si>
  <si>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</si>
  <si>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t>线条（国产）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</si>
  <si>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</si>
  <si>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</si>
  <si>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t>益涂纳米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</si>
  <si>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</si>
  <si>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联络：王玉强
We chat 微信：
Tel. 电话：
Mal.邮箱：
Ad. 地址：</t>
  </si>
  <si>
    <t>RW-岩棉板
ACP-吸音板</t>
  </si>
  <si>
    <t>优声克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</si>
  <si>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</si>
  <si>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联络：贺信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微信：hhhhdudu525</t>
    </r>
  </si>
  <si>
    <t>越秀木（日本）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</si>
  <si>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</si>
  <si>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>联络：廖先生</t>
    </r>
    <r>
      <rPr>
        <rFont val="Verdana"/>
        <color theme="1"/>
        <sz val="11.0"/>
      </rPr>
      <t xml:space="preserve">
微信：Azhui2333
电话：19921523623</t>
    </r>
  </si>
  <si>
    <t>之时石材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</si>
  <si>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</si>
  <si>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联络：章青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微信：xiaomaq007</t>
    </r>
  </si>
  <si>
    <t>Abetlaminati 普丽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</si>
  <si>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</si>
  <si>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联络：Reffaelewu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微信：wellsun001</t>
    </r>
  </si>
  <si>
    <r>
      <rPr>
        <rFont val="stylus bt"/>
        <color theme="1"/>
        <sz val="11.0"/>
      </rPr>
      <t xml:space="preserve">AICA </t>
    </r>
    <r>
      <rPr>
        <rFont val="Verdana"/>
        <color theme="1"/>
        <sz val="11.0"/>
      </rPr>
      <t>爱克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</si>
  <si>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</si>
  <si>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</t>
    </r>
    <r>
      <rPr>
        <rFont val="Verdana"/>
        <color theme="1"/>
        <sz val="11.0"/>
      </rPr>
      <t>Johnson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JC_Edwin</t>
    </r>
  </si>
  <si>
    <t>PVC-塑胶地板（MULTI）</t>
  </si>
  <si>
    <t>AMIORIM（ACOUSTICORK）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</si>
  <si>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</si>
  <si>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ANDATAI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</si>
  <si>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</si>
  <si>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联络：刘洋
We chat 微信：
Tel. 电话：13011160916
Mal.邮箱：bjandatai@126.com
Ad. 地址：北京安达泰橡胶制品有限公司
北京市东城区安外大街2号安贞大厦1506室</t>
  </si>
  <si>
    <r>
      <rPr>
        <rFont val="Arial"/>
        <color theme="1"/>
        <sz val="11.0"/>
      </rPr>
      <t>ALU-</t>
    </r>
    <r>
      <rPr>
        <rFont val="Verdana"/>
        <color theme="1"/>
        <sz val="11.0"/>
      </rPr>
      <t>铝板</t>
    </r>
  </si>
  <si>
    <t>Armstong 阿姆斯壮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</si>
  <si>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</si>
  <si>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GF-玻纤板
MF-矿棉板
ALU-铝复合板</t>
  </si>
  <si>
    <r>
      <rPr>
        <rFont val="stylus bt"/>
        <color theme="1"/>
        <sz val="11.0"/>
      </rPr>
      <t xml:space="preserve">Armstrong Ceiling </t>
    </r>
    <r>
      <rPr>
        <rFont val="Verdana"/>
        <color theme="1"/>
        <sz val="11.0"/>
      </rPr>
      <t>阿姆斯壮天花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</si>
  <si>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</si>
  <si>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联络：骆宏财
We chat 微信：ArmstrongCeiling
Tel. 电话：17756012199
Mal.邮箱：hluo@armstrongceiling.com
Ad. 地址：阿姆斯壮世界工业（中国）有限公司
200032 徐汇区龙华路600号绿地中心B座10楼
</t>
  </si>
  <si>
    <t>PVC-塑胶地板
LVT-半硬质片材塑胶地板
RBF-橡胶地板</t>
  </si>
  <si>
    <r>
      <rPr>
        <rFont val="stylus bt"/>
        <color theme="1"/>
        <sz val="11.0"/>
      </rPr>
      <t xml:space="preserve">Armstrong Flooring </t>
    </r>
    <r>
      <rPr>
        <rFont val="Verdana"/>
        <color theme="1"/>
        <sz val="11.0"/>
      </rPr>
      <t>阿姆斯壮地板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</si>
  <si>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</si>
  <si>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联络：徐红
We chat 微信：qq839274765
Tel. 电话：15995033186
Mal.邮箱：exu@armstrongflooring.com
Ad. 地址：阿姆斯壮世界工业（中国）有限公司
200032 徐汇区龙华路600号绿地中心B座10楼
</t>
  </si>
  <si>
    <t>ASLOC-NOZAVA</t>
  </si>
  <si>
    <t xml:space="preserve">Contact 联络：
We chat 微信：
Tel. 电话：021-62367887
Mal.邮箱：zilikou@hotmail.com
Ad. 地址：上海市延安西路2299号上海世贸商城10幢A55室
</t>
  </si>
  <si>
    <t>建筑Architecture 
室内Interior 
景观 Lanscape</t>
  </si>
  <si>
    <t>建筑外墙内墙 
室内隔断 Partition
墙体绿化Green Wall</t>
  </si>
  <si>
    <t>5000L×1200W（mm)</t>
  </si>
  <si>
    <t>HW-五金</t>
  </si>
  <si>
    <r>
      <rPr>
        <rFont val="stylus bt"/>
        <color theme="1"/>
        <sz val="11.0"/>
      </rPr>
      <t xml:space="preserve">ASSA ABLOY </t>
    </r>
    <r>
      <rPr>
        <rFont val="Verdana"/>
        <color theme="1"/>
        <sz val="11.0"/>
      </rPr>
      <t>芮英进口五金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</si>
  <si>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</si>
  <si>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联络：应俊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13917984273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13917984273
Mal.</t>
    </r>
    <r>
      <rPr>
        <rFont val="Verdana"/>
        <color theme="1"/>
        <sz val="11.0"/>
      </rPr>
      <t>邮箱：</t>
    </r>
    <r>
      <rPr>
        <rFont val="Verdana"/>
        <color theme="1"/>
        <sz val="11.0"/>
      </rPr>
      <t xml:space="preserve">13917984273@163.com
Ad. </t>
    </r>
    <r>
      <rPr>
        <rFont val="Verdana"/>
        <color theme="1"/>
        <sz val="11.0"/>
      </rPr>
      <t>地址：上海市宝山区铁力路</t>
    </r>
    <r>
      <rPr>
        <rFont val="Verdana"/>
        <color theme="1"/>
        <sz val="11.0"/>
      </rPr>
      <t>1</t>
    </r>
    <r>
      <rPr>
        <rFont val="Verdana"/>
        <color theme="1"/>
        <sz val="11.0"/>
      </rPr>
      <t>号</t>
    </r>
    <r>
      <rPr>
        <rFont val="Verdana"/>
        <color theme="1"/>
        <sz val="11.0"/>
      </rPr>
      <t>2</t>
    </r>
    <r>
      <rPr>
        <rFont val="Verdana"/>
        <color theme="1"/>
        <sz val="11.0"/>
      </rPr>
      <t>楼</t>
    </r>
  </si>
  <si>
    <t>AUTEX</t>
  </si>
  <si>
    <r>
      <rPr>
        <rFont val="Arial"/>
        <color theme="1"/>
        <sz val="11.0"/>
      </rPr>
      <t xml:space="preserve">Contact 联络：
We chat 微信：
Tel. 电话：
Mal.邮箱：
Ad. 地址：
</t>
    </r>
    <r>
      <rPr>
        <rFont val="Arial"/>
        <color rgb="FF000000"/>
        <sz val="11.0"/>
      </rPr>
      <t>Web.网址</t>
    </r>
    <r>
      <rPr>
        <rFont val="Arial"/>
        <color theme="1"/>
        <sz val="11.0"/>
      </rPr>
      <t xml:space="preserve">：www.autex.co.nz
                  </t>
    </r>
    <r>
      <rPr>
        <rFont val="Arial"/>
        <color rgb="FF000000"/>
        <sz val="11.0"/>
      </rPr>
      <t xml:space="preserve"> www.autex.co</t>
    </r>
    <r>
      <rPr>
        <rFont val="Arial"/>
        <color theme="1"/>
        <sz val="11.0"/>
      </rPr>
      <t xml:space="preserve">m.au
                 </t>
    </r>
    <r>
      <rPr>
        <rFont val="Arial"/>
        <color rgb="FF000000"/>
        <sz val="11.0"/>
      </rPr>
      <t xml:space="preserve">  www.autexacoustics.co.</t>
    </r>
    <r>
      <rPr>
        <rFont val="Arial"/>
        <color theme="1"/>
        <sz val="11.0"/>
      </rPr>
      <t xml:space="preserve">uk </t>
    </r>
  </si>
  <si>
    <t>室内隔墙
室内吊顶</t>
  </si>
  <si>
    <t>Trapezium:1180w×2380L×290H
Eclipse:1197w×2346L×337H
Tarus:725R×1450D×293H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</si>
  <si>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</si>
  <si>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联络：Rachel
We chat 微信：
Tel. 电话：18717967937
Mal.邮箱：
Ad. 地址：上海市松江区九亭镇九富经济开发区盛龙路865弄6号
</t>
    </r>
    <r>
      <rPr>
        <rFont val="Arial"/>
        <color theme="1"/>
        <sz val="11.0"/>
      </rPr>
      <t>Web.网址：www.avarte-cn.com</t>
    </r>
  </si>
  <si>
    <t>沙发：
两人位高背：1830L×880W×1230H</t>
  </si>
  <si>
    <t xml:space="preserve">沙发：
单人位低背：1030L×760W×1020H
单人位高背：1140L×840W×1260H
剧场椅：
545（450座垫）L×605（495座垫)W×815(450坐高)H
625（515座垫）L×545（450座垫)W×980(450坐高)H
</t>
  </si>
  <si>
    <r>
      <rPr>
        <rFont val="stylus bt"/>
        <color theme="1"/>
        <sz val="11.0"/>
      </rPr>
      <t xml:space="preserve">Axolotl HK </t>
    </r>
    <r>
      <rPr>
        <rFont val="Verdana"/>
        <color theme="1"/>
        <sz val="11.0"/>
      </rPr>
      <t>金属涂料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</si>
  <si>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</si>
  <si>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BERRIDGE</t>
  </si>
  <si>
    <r>
      <rPr>
        <rFont val="stylus bt"/>
        <color theme="1"/>
        <sz val="11.0"/>
      </rPr>
      <t>RES-</t>
    </r>
    <r>
      <rPr>
        <rFont val="Verdana"/>
        <color theme="1"/>
        <sz val="11.0"/>
      </rPr>
      <t>树脂板</t>
    </r>
  </si>
  <si>
    <t>Bform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</si>
  <si>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</si>
  <si>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联络：宋萱萱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</si>
  <si>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</si>
  <si>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r>
      <rPr>
        <rFont val="stylus bt"/>
        <color theme="1"/>
        <sz val="11.0"/>
      </rPr>
      <t xml:space="preserve">BLANCO </t>
    </r>
    <r>
      <rPr>
        <rFont val="Verdana"/>
        <color theme="1"/>
        <sz val="11.0"/>
      </rPr>
      <t>铂浪</t>
    </r>
    <r>
      <rPr>
        <rFont val="Verdana"/>
        <color theme="1"/>
        <sz val="11.0"/>
      </rPr>
      <t xml:space="preserve"> </t>
    </r>
    <r>
      <rPr>
        <rFont val="Verdana"/>
        <color theme="1"/>
        <sz val="11.0"/>
      </rPr>
      <t>（德国）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</si>
  <si>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</si>
  <si>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联络：肖彩霞
We chat 微信：
Tel. 电话：
Mal.邮箱：
Ad. 地址：</t>
  </si>
  <si>
    <r>
      <rPr>
        <rFont val="stylus bt"/>
        <color theme="1"/>
        <sz val="11.0"/>
      </rPr>
      <t>PVC-</t>
    </r>
    <r>
      <rPr>
        <rFont val="Verdana"/>
        <color theme="1"/>
        <sz val="11.0"/>
      </rPr>
      <t>塑胶地板（SPORT）</t>
    </r>
  </si>
  <si>
    <t>Boker 博克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</si>
  <si>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</si>
  <si>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PVC-塑胶地板</t>
  </si>
  <si>
    <t>Bolon 波龙地毯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</si>
  <si>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</si>
  <si>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联络：莱映璇 Sherry
We chat 微信：sherrylailai
Tel. 电话：15921642689
Mal.邮箱：Sherry@bolon.sh.cn
Ad. 地址：上海市长宁区愚园路1258号903室</t>
  </si>
  <si>
    <r>
      <rPr>
        <rFont val="stylus bt"/>
        <color theme="1"/>
        <sz val="11.0"/>
      </rPr>
      <t>CO-</t>
    </r>
    <r>
      <rPr>
        <rFont val="Verdana"/>
        <color theme="1"/>
        <sz val="11.0"/>
      </rPr>
      <t xml:space="preserve">人造石
</t>
    </r>
    <r>
      <rPr>
        <rFont val="Verdana"/>
        <color theme="1"/>
        <sz val="11.0"/>
      </rPr>
      <t>ST-</t>
    </r>
    <r>
      <rPr>
        <rFont val="Verdana"/>
        <color theme="1"/>
        <sz val="11.0"/>
      </rPr>
      <t>石材</t>
    </r>
  </si>
  <si>
    <t>CAESERSTONE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</si>
  <si>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</si>
  <si>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联络：陈承菲
We chat 微信：CC329091
Tel. 电话：13122295879
Mal.邮箱：faychen@caeserstonecn.cn
Ad. 地址：200235徐汇区南宁路970号
徐汇万科中心B座1603室
</t>
  </si>
  <si>
    <r>
      <rPr>
        <rFont val="stylus bt"/>
        <color theme="1"/>
        <sz val="11.0"/>
      </rPr>
      <t>FB-</t>
    </r>
    <r>
      <rPr>
        <rFont val="Verdana"/>
        <color theme="1"/>
        <sz val="11.0"/>
      </rPr>
      <t>软包</t>
    </r>
  </si>
  <si>
    <t>CAMIRA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</si>
  <si>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</si>
  <si>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联络：Melody Zhang
We chat 微信：Melodyzhang89
Tel. 电话：15001855519
Mal.邮箱：melody.zhang@camirafabrics.com
Ad. 地址：上海市静安区延安中路1440号
阿波罗大厦102H-C</t>
  </si>
  <si>
    <t>IB-保温板</t>
  </si>
  <si>
    <t>CENTRIA盛亚</t>
  </si>
  <si>
    <t>Contact 联络:刘瑶
We chat 微信：
Tel. 电话：13816830201
Mal.邮箱：xfzhang@centria.com.cn
Ad. 地址：</t>
  </si>
  <si>
    <t>建筑外墙
屋面
天窗
顶棚</t>
  </si>
  <si>
    <t xml:space="preserve">室外室内DSR-J,DSR-U,DSR-M:
板材厚度最大200；板块宽度：1200；板材长度：12000
外板，内板：
CS系列BR5-36,HR5-36IW系列
板长：12000；板厚0.5mm-1.2mm
屋面系统
SRS-3,SRS-65,BR5-36可视需要而定
</t>
  </si>
  <si>
    <t>室外室内DSR-J,DSR-U,DSR-M: 
板材厚度最小50；
板块宽度：300；
板材长度：600</t>
  </si>
  <si>
    <t xml:space="preserve">屋面系统标准宽度：
SRS-3:305mm/406mm/457mm;
SRS-65:400mm
肋高：
SRS-3:76mm;SRS-65:65mm
板厚：
钢制0.5-1.2mm；铝制0.9-1.2mm
</t>
  </si>
  <si>
    <t>MTP-金属板
EFC-幕墙系统</t>
  </si>
  <si>
    <t>Contact 联络:张现福
We chat 微信：
Tel. 电话：+86 18621759913
Mal.邮箱：xfzhang@centria.com.cn
Ad. 地址：上海市黄浦区四川中路181号306室</t>
  </si>
  <si>
    <t>屋顶
建筑幕墙</t>
  </si>
  <si>
    <t xml:space="preserve">建筑保温金属板：
光滑面：L4.88m;压花条纹面：L11.28m;
压花面：L11.28m; 光滑小波纹面：L6.1m; 
Duracast 饰面：L8.53m;不锈钢饰面：L4.88m;
铝饰面：L 3.81m
</t>
  </si>
  <si>
    <t xml:space="preserve">SRS3：肋高76mm;厚度0.6-1.2mm;宽度：457mm(305、406mm可选）
SRS65:肋高65mm;厚度0.6-1.2mm;宽度：400mm(300、500mm可选）
SRS360:肋高65mm;厚度0.53-0.8mm;宽度：495mm
             </t>
  </si>
  <si>
    <r>
      <rPr>
        <rFont val="stylus bt"/>
        <color theme="1"/>
        <sz val="11.0"/>
      </rPr>
      <t>RES-</t>
    </r>
    <r>
      <rPr>
        <rFont val="Verdana"/>
        <color theme="1"/>
        <sz val="11.0"/>
      </rPr>
      <t>树脂板</t>
    </r>
  </si>
  <si>
    <r>
      <rPr>
        <rFont val="stylus bt"/>
        <color theme="1"/>
        <sz val="11.0"/>
      </rPr>
      <t>chiefair</t>
    </r>
    <r>
      <rPr>
        <rFont val="Verdana"/>
        <color theme="1"/>
        <sz val="11.0"/>
      </rPr>
      <t>（</t>
    </r>
    <r>
      <rPr>
        <rFont val="Verdana"/>
        <color theme="1"/>
        <sz val="11.0"/>
      </rPr>
      <t>prokulit)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</si>
  <si>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</si>
  <si>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联络：王娜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微信：na19831986</t>
    </r>
  </si>
  <si>
    <t>CHUAN XI传习</t>
  </si>
  <si>
    <t>Contact 联络：
We chat 微信：chuanxilu
Tel. 电话：13810019405
Mal.邮箱：chuanxichina@126.com
Ad. 地址：北京市朝阳区百子湾路32号苹果社区3号楼A座803室
Web.网址:www.chuanxigongfang.com</t>
  </si>
  <si>
    <t>家具Furniture</t>
  </si>
  <si>
    <t>桌椅
柜架</t>
  </si>
  <si>
    <r>
      <rPr>
        <rFont val="stylus bt"/>
        <color theme="1"/>
        <sz val="11.0"/>
      </rPr>
      <t>FB-</t>
    </r>
    <r>
      <rPr>
        <rFont val="Verdana"/>
        <color theme="1"/>
        <sz val="11.0"/>
      </rPr>
      <t>软包</t>
    </r>
  </si>
  <si>
    <t>DANI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</si>
  <si>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</si>
  <si>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
We chat 微信：
Tel. 电话：
Mal.邮箱：
Ad. 地址</t>
  </si>
  <si>
    <t>GL-玻璃(树脂）</t>
  </si>
  <si>
    <t>DECO-DECO乐高</t>
  </si>
  <si>
    <t>Contact 联络:张嘉敏Carmen
We chat 微信：
Tel. 电话：+86-13719316433
Mal.邮箱：carmen zhang@dcdci.com
Ad. 地址：广州市番禺区沙港镇福龙路83号</t>
  </si>
  <si>
    <t>室内Interior
家具Furniture</t>
  </si>
  <si>
    <t>室内墙面装饰
室内天花装饰
灯饰、艺术装置</t>
  </si>
  <si>
    <t>2440×1220mm
3050×1220mm
厚度：1.5mm;3mm;5mm;8mm;10mm;12mm</t>
  </si>
  <si>
    <r>
      <rPr>
        <rFont val="stylus bt"/>
        <color theme="1"/>
        <sz val="11.0"/>
      </rPr>
      <t xml:space="preserve">DORMAKABA </t>
    </r>
    <r>
      <rPr>
        <rFont val="Verdana"/>
        <color theme="1"/>
        <sz val="11.0"/>
      </rPr>
      <t>多玛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</si>
  <si>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</si>
  <si>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联络：王劲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wxid_knsbt993nup622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</si>
  <si>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</si>
  <si>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r>
      <rPr>
        <rFont val="stylus bt"/>
        <color theme="1"/>
        <sz val="11.0"/>
      </rPr>
      <t xml:space="preserve">Dornbracht </t>
    </r>
    <r>
      <rPr>
        <rFont val="Verdana"/>
        <color theme="1"/>
        <sz val="11.0"/>
      </rPr>
      <t>当代（德国）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</si>
  <si>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</si>
  <si>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CPT-</t>
    </r>
    <r>
      <rPr>
        <rFont val="Verdana"/>
        <color theme="1"/>
        <sz val="11.0"/>
      </rPr>
      <t>地毯</t>
    </r>
  </si>
  <si>
    <t>DOWFLOR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</si>
  <si>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</si>
  <si>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CPT-</t>
    </r>
    <r>
      <rPr>
        <rFont val="Verdana"/>
        <color theme="1"/>
        <sz val="11.0"/>
      </rPr>
      <t>地毯</t>
    </r>
  </si>
  <si>
    <t>DUPONT SORONA(Green Pad)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</si>
  <si>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</si>
  <si>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</si>
  <si>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r>
      <rPr>
        <rFont val="stylus bt"/>
        <color theme="1"/>
        <sz val="11.0"/>
      </rPr>
      <t xml:space="preserve">Duravit </t>
    </r>
    <r>
      <rPr>
        <rFont val="Verdana"/>
        <color theme="1"/>
        <sz val="11.0"/>
      </rPr>
      <t>杜拉维特（德国）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</si>
  <si>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</si>
  <si>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EFC-</t>
    </r>
    <r>
      <rPr>
        <rFont val="Verdana"/>
        <color theme="1"/>
        <sz val="11.0"/>
      </rPr>
      <t>幕墙系统</t>
    </r>
  </si>
  <si>
    <t>EFC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</si>
  <si>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</si>
  <si>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</si>
  <si>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r>
      <rPr>
        <rFont val="stylus bt"/>
        <color theme="1"/>
        <sz val="11.0"/>
      </rPr>
      <t>RES-</t>
    </r>
    <r>
      <rPr>
        <rFont val="Verdana"/>
        <color theme="1"/>
        <sz val="11.0"/>
      </rPr>
      <t>树脂板</t>
    </r>
  </si>
  <si>
    <t>ENZO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</si>
  <si>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</si>
  <si>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联络：晶晶
We chat 微信：13661632365
Tel. 电话：13661632365
Mal.邮箱：27407295@qq.com
Ad. 地址：上海市松江区佘北工业区陶干路791号</t>
  </si>
  <si>
    <t>AP-人造板材</t>
  </si>
  <si>
    <t>Eternit埃特尼特</t>
  </si>
  <si>
    <t>建筑外墙
室内
吊顶隔墙
屋面系统
被动式防火系统
地面系统</t>
  </si>
  <si>
    <t xml:space="preserve">纤维增强水泥板材：
3000×1220（厚度：8/12mm)
陶板：600×1800
石材：600×800
</t>
  </si>
  <si>
    <t>CPT-地毯</t>
  </si>
  <si>
    <r>
      <rPr>
        <rFont val="Arial"/>
        <color theme="1"/>
        <sz val="11.0"/>
      </rPr>
      <t>FINETT</t>
    </r>
    <r>
      <rPr>
        <rFont val="Verdana"/>
        <color theme="1"/>
        <sz val="11.0"/>
      </rPr>
      <t>芬尼特 （Germany）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</si>
  <si>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</si>
  <si>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联络：刘璐斐
We chat 微信：13816223865
Tel. 电话：13816223865
Mal.邮箱：lucia7300@126.com
Ad. 地址：上海嘉定区云谷路1288弄143号3001室</t>
  </si>
  <si>
    <t>FOAMGLAS</t>
  </si>
  <si>
    <t xml:space="preserve">Contact 联络：
We chat 微信：
Tel. 电话：+32(0)13661721
Mal.邮箱：
Ad. 地址：Pittsburgh Corning Europe N.V/S.A. Albertkade 1
Web.网址：www.foamglas.com
</t>
  </si>
  <si>
    <t xml:space="preserve">建筑外立面
屋顶
室内隔墙
室内地面
</t>
  </si>
  <si>
    <r>
      <rPr>
        <rFont val="Arial"/>
        <color rgb="FFFF0000"/>
        <sz val="11.0"/>
      </rPr>
      <t>PVC-</t>
    </r>
    <r>
      <rPr>
        <rFont val="Verdana"/>
        <color rgb="FFFF0000"/>
        <sz val="11.0"/>
      </rPr>
      <t>塑胶地板
CPT-地毯
ACP-吸音板</t>
    </r>
  </si>
  <si>
    <r>
      <rPr>
        <rFont val="stylus bt"/>
        <color theme="1"/>
        <sz val="11.0"/>
      </rPr>
      <t xml:space="preserve">Forbo </t>
    </r>
    <r>
      <rPr>
        <rFont val="Verdana"/>
        <color theme="1"/>
        <sz val="11.0"/>
      </rPr>
      <t>福尔波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</si>
  <si>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</si>
  <si>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联络：侯惠明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13816567858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13816567858
Mal.</t>
    </r>
    <r>
      <rPr>
        <rFont val="Verdana"/>
        <color theme="1"/>
        <sz val="11.0"/>
      </rPr>
      <t>邮箱：</t>
    </r>
    <r>
      <rPr>
        <rFont val="Verdana"/>
        <color theme="1"/>
        <sz val="11.0"/>
      </rPr>
      <t xml:space="preserve">33213119@qq.com
Ad. </t>
    </r>
    <r>
      <rPr>
        <rFont val="Verdana"/>
        <color theme="1"/>
        <sz val="11.0"/>
      </rPr>
      <t>地址：上海市长宁区延安西路</t>
    </r>
    <r>
      <rPr>
        <rFont val="Verdana"/>
        <color theme="1"/>
        <sz val="11.0"/>
      </rPr>
      <t>1088</t>
    </r>
    <r>
      <rPr>
        <rFont val="Verdana"/>
        <color theme="1"/>
        <sz val="11.0"/>
      </rPr>
      <t>号长峰中心</t>
    </r>
    <r>
      <rPr>
        <rFont val="Verdana"/>
        <color theme="1"/>
        <sz val="11.0"/>
      </rPr>
      <t>624-625</t>
    </r>
    <r>
      <rPr>
        <rFont val="Verdana"/>
        <color theme="1"/>
        <sz val="11.0"/>
      </rPr>
      <t>室</t>
    </r>
  </si>
  <si>
    <t>CL-抗倍特</t>
  </si>
  <si>
    <r>
      <rPr>
        <rFont val="Arial"/>
        <color theme="1"/>
        <sz val="11.0"/>
      </rPr>
      <t xml:space="preserve">FORMICA </t>
    </r>
    <r>
      <rPr>
        <rFont val="Verdana"/>
        <color theme="1"/>
        <sz val="11.0"/>
      </rPr>
      <t>富美家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</si>
  <si>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</si>
  <si>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</si>
  <si>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r>
      <rPr>
        <rFont val="Arial"/>
        <color theme="1"/>
        <sz val="11.0"/>
      </rPr>
      <t xml:space="preserve">Formica </t>
    </r>
    <r>
      <rPr>
        <rFont val="Verdana"/>
        <color theme="1"/>
        <sz val="11.0"/>
      </rPr>
      <t>富美家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</si>
  <si>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</si>
  <si>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</t>
    </r>
    <r>
      <rPr>
        <rFont val="Verdana"/>
        <color theme="1"/>
        <sz val="11.0"/>
      </rPr>
      <t>Eva Sun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微信：yy27305722</t>
    </r>
  </si>
  <si>
    <t>FB-软包</t>
  </si>
  <si>
    <t>GABRIEL 加布里埃尔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</si>
  <si>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</si>
  <si>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联络：Jocelyn/徐佳
We chat 微信：14357599
Tel. 电话：13817189236
Mal.邮箱：ll@gabriel.dk
Ad. 地址：上海市黄浦区汉口路309号309室</t>
  </si>
  <si>
    <r>
      <rPr>
        <rFont val="stylus bt"/>
        <color theme="1"/>
        <sz val="11.0"/>
      </rPr>
      <t>PVC-</t>
    </r>
    <r>
      <rPr>
        <rFont val="Verdana"/>
        <color theme="1"/>
        <sz val="11.0"/>
      </rPr>
      <t>塑胶地板（</t>
    </r>
    <r>
      <rPr>
        <rFont val="Verdana"/>
        <color theme="1"/>
        <sz val="11.0"/>
      </rPr>
      <t>SPORT</t>
    </r>
    <r>
      <rPr>
        <rFont val="Verdana"/>
        <color theme="1"/>
        <sz val="11.0"/>
      </rPr>
      <t>）</t>
    </r>
  </si>
  <si>
    <r>
      <rPr>
        <rFont val="stylus bt"/>
        <color theme="1"/>
        <sz val="11.0"/>
      </rPr>
      <t xml:space="preserve">Gerflor </t>
    </r>
    <r>
      <rPr>
        <rFont val="Verdana"/>
        <color theme="1"/>
        <sz val="11.0"/>
      </rPr>
      <t>洁福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</si>
  <si>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</si>
  <si>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 朱文斌
We chat 微信：18019423688
Tel. 电话：18019423688
Mal.邮箱：wenbin.zhu@gerflor.com
Ad. 地址：:上海市虹口区四川北路1318号 2502室</t>
  </si>
  <si>
    <t>GRADO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</si>
  <si>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</si>
  <si>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</si>
  <si>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</si>
  <si>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r>
      <rPr>
        <rFont val="stylus bt"/>
        <color theme="1"/>
        <sz val="11.0"/>
      </rPr>
      <t xml:space="preserve">GROHE </t>
    </r>
    <r>
      <rPr>
        <rFont val="Verdana"/>
        <color theme="1"/>
        <sz val="11.0"/>
      </rPr>
      <t>高仪（德国）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</si>
  <si>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</si>
  <si>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金属卫生间隔断</t>
    </r>
  </si>
  <si>
    <r>
      <rPr>
        <rFont val="stylus bt"/>
        <color theme="1"/>
        <sz val="11.0"/>
      </rPr>
      <t xml:space="preserve">HadLina </t>
    </r>
    <r>
      <rPr>
        <rFont val="Verdana"/>
        <color theme="1"/>
        <sz val="11.0"/>
      </rPr>
      <t>海德琳纳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</si>
  <si>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</si>
  <si>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联络：海德琳纳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13671565315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</si>
  <si>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t>hafele 海福乐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</si>
  <si>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</si>
  <si>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联络：王劲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wxid_knsbt993nup622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</si>
  <si>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Hanwha L&amp;C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</si>
  <si>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</si>
  <si>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GRG-
</t>
    </r>
    <r>
      <rPr>
        <rFont val="Verdana"/>
        <color theme="1"/>
        <sz val="11.0"/>
      </rPr>
      <t xml:space="preserve">预铸式玻璃纤维加强石膏板
</t>
    </r>
    <r>
      <rPr>
        <rFont val="Verdana"/>
        <color theme="1"/>
        <sz val="11.0"/>
      </rPr>
      <t>GRC-</t>
    </r>
    <r>
      <rPr>
        <rFont val="Verdana"/>
        <color theme="1"/>
        <sz val="11.0"/>
      </rPr>
      <t xml:space="preserve">玻璃纤维增强混凝土
</t>
    </r>
    <r>
      <rPr>
        <rFont val="Verdana"/>
        <color theme="1"/>
        <sz val="11.0"/>
      </rPr>
      <t>TL-</t>
    </r>
    <r>
      <rPr>
        <rFont val="Verdana"/>
        <color theme="1"/>
        <sz val="11.0"/>
      </rPr>
      <t xml:space="preserve">瓷砖
</t>
    </r>
    <r>
      <rPr>
        <rFont val="Verdana"/>
        <color theme="1"/>
        <sz val="11.0"/>
      </rPr>
      <t>RM-</t>
    </r>
    <r>
      <rPr>
        <rFont val="Verdana"/>
        <color theme="1"/>
        <sz val="11.0"/>
      </rPr>
      <t>特殊卷材</t>
    </r>
  </si>
  <si>
    <r>
      <rPr>
        <rFont val="stylus bt"/>
        <color theme="1"/>
        <sz val="11.0"/>
      </rPr>
      <t>I</t>
    </r>
    <r>
      <rPr>
        <rFont val="Verdana"/>
        <color theme="1"/>
        <sz val="11.0"/>
      </rPr>
      <t>。</t>
    </r>
    <r>
      <rPr>
        <rFont val="Verdana"/>
        <color theme="1"/>
        <sz val="11.0"/>
      </rPr>
      <t>F</t>
    </r>
    <r>
      <rPr>
        <rFont val="Verdana"/>
        <color theme="1"/>
        <sz val="11.0"/>
      </rPr>
      <t>。国际建筑科技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</si>
  <si>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</si>
  <si>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联络：Andy 邱志华
We chat 微信：
Tel. 电话：18601786886
Mal.邮箱：
Ad. 地址：</t>
  </si>
  <si>
    <t>iGuzzini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</si>
  <si>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</si>
  <si>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电话：</t>
    </r>
  </si>
  <si>
    <t>KALWALL</t>
  </si>
  <si>
    <t>Contact 联络:刘瑶
We chat 微信：
Tel. 电话：13816830201
Mal.邮箱：
Ad. 地址：</t>
  </si>
  <si>
    <t xml:space="preserve">建筑外墙
天窗
</t>
  </si>
  <si>
    <t>墙体系统Wall Systerm:
1500×6000mm
单元式幕墙：
1500×10700mm</t>
  </si>
  <si>
    <r>
      <rPr>
        <rFont val="stylus bt"/>
        <color theme="1"/>
        <sz val="11.0"/>
      </rPr>
      <t>KANKO</t>
    </r>
    <r>
      <rPr>
        <rFont val="Verdana"/>
        <color theme="1"/>
        <sz val="11.0"/>
      </rPr>
      <t>観古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</si>
  <si>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</si>
  <si>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联络：唐娜
We chat 微信：18019712798
Tel. 电话：18019712798
Mal.邮箱：3Mfilm@vip.126.com
Ad. 地址：上海市宝山区长临路913号1116室</t>
  </si>
  <si>
    <t>Knauf Aquapanel 可耐福水泥板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</si>
  <si>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</si>
  <si>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联络：裴军
We chat 微信：peijun13817856758
Tel. 电话：13817856758
Mal.邮箱：
Ad. 地址：</t>
  </si>
  <si>
    <r>
      <rPr>
        <rFont val="stylus bt"/>
        <color theme="1"/>
        <sz val="11.0"/>
      </rPr>
      <t>GB-</t>
    </r>
    <r>
      <rPr>
        <rFont val="Verdana"/>
        <color theme="1"/>
        <sz val="11.0"/>
      </rPr>
      <t xml:space="preserve">石膏板
</t>
    </r>
    <r>
      <rPr>
        <rFont val="Verdana"/>
        <color theme="1"/>
        <sz val="11.0"/>
      </rPr>
      <t>GF-</t>
    </r>
    <r>
      <rPr>
        <rFont val="Verdana"/>
        <color theme="1"/>
        <sz val="11.0"/>
      </rPr>
      <t xml:space="preserve">玻纤板
</t>
    </r>
    <r>
      <rPr>
        <rFont val="Verdana"/>
        <color theme="1"/>
        <sz val="11.0"/>
      </rPr>
      <t>MF-</t>
    </r>
    <r>
      <rPr>
        <rFont val="Verdana"/>
        <color theme="1"/>
        <sz val="11.0"/>
      </rPr>
      <t>矿棉板</t>
    </r>
  </si>
  <si>
    <t>KNAUF可耐福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</si>
  <si>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</si>
  <si>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联络：Carolyn
We chat 微信：Carolynwang2011
Tel. 电话：
Mal.邮箱：
Ad. 地址：</t>
  </si>
  <si>
    <t>Kochi woods-上海井秀建材科技有限公司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</si>
  <si>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联络：廖先生
We chat 微信：Azhui2333
Tel. 电话：19921523623
Mal.邮箱：
Ad. 地址：上海市长宁区杨宅路258号C106室
</t>
    </r>
    <r>
      <rPr>
        <rFont val="Arial"/>
        <color theme="1"/>
        <sz val="11.0"/>
      </rPr>
      <t xml:space="preserve">Web. 网站：www.jpkoshiiwoods.com
</t>
    </r>
  </si>
  <si>
    <t xml:space="preserve">建筑Architecture
室内Interior
景观Lanscape
</t>
  </si>
  <si>
    <t xml:space="preserve">建筑外墙装饰
户外木平台
室内装饰
室内地板
（可用作地下室地板、地热地板等）
景观木制品
高级实木窗
</t>
  </si>
  <si>
    <t>室内地板：1800×1700×18（mm)</t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</si>
  <si>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</si>
  <si>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t>kohler 科勒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</si>
  <si>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</si>
  <si>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联络：张婷
We chat 微信：Isxiaotu
Tel. 电话：
Mal.邮箱：
Ad. 地址：
</t>
  </si>
  <si>
    <t>KOKUYO家具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</si>
  <si>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</si>
  <si>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联络：金真羽
We chat 微信：
Tel. 电话：13951023319
Mal.邮箱：
Ad. 地址：
Web.网址：www.kokuyo.com</t>
  </si>
  <si>
    <r>
      <rPr>
        <rFont val="stylus bt"/>
        <color theme="1"/>
        <sz val="11.0"/>
      </rPr>
      <t>MEP-</t>
    </r>
    <r>
      <rPr>
        <rFont val="Verdana"/>
        <color theme="1"/>
        <sz val="11.0"/>
      </rPr>
      <t>机电</t>
    </r>
  </si>
  <si>
    <r>
      <rPr>
        <rFont val="stylus bt"/>
        <color theme="1"/>
        <sz val="11.0"/>
      </rPr>
      <t>KST</t>
    </r>
    <r>
      <rPr>
        <rFont val="Verdana"/>
        <color theme="1"/>
        <sz val="11.0"/>
      </rPr>
      <t>开思拓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</si>
  <si>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</si>
  <si>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</si>
  <si>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KVADRAT</t>
  </si>
  <si>
    <t xml:space="preserve">Contact 联络：
We chat 微信：
Tel. 电话：8621-60700652
Mal.邮箱：info@heyideco.com
Ad. 地址：上海市徐汇区田林路130号18号楼南H18 
</t>
  </si>
  <si>
    <t xml:space="preserve">室内Interior
</t>
  </si>
  <si>
    <t>室内隔墙
天花板</t>
  </si>
  <si>
    <t>6000L×3000W（mm）</t>
  </si>
  <si>
    <r>
      <rPr>
        <rFont val="stylus bt"/>
        <color theme="1"/>
        <sz val="11.0"/>
      </rPr>
      <t>GP-</t>
    </r>
    <r>
      <rPr>
        <rFont val="Verdana"/>
        <color theme="1"/>
        <sz val="11.0"/>
      </rPr>
      <t>玻璃隔断</t>
    </r>
  </si>
  <si>
    <r>
      <rPr>
        <rFont val="stylus bt"/>
        <color theme="1"/>
        <sz val="11.0"/>
      </rPr>
      <t xml:space="preserve">Lamex </t>
    </r>
    <r>
      <rPr>
        <rFont val="Verdana"/>
        <color theme="1"/>
        <sz val="11.0"/>
      </rPr>
      <t>办公系统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</si>
  <si>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</si>
  <si>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联络：Stephen Liu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微信：wxid_u26sasibbew2</t>
    </r>
  </si>
  <si>
    <t>LG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</si>
  <si>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</si>
  <si>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PVC-</t>
    </r>
    <r>
      <rPr>
        <rFont val="Verdana"/>
        <color theme="1"/>
        <sz val="11.0"/>
      </rPr>
      <t>塑胶地板（SPORT）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</si>
  <si>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</si>
  <si>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</si>
  <si>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Lumbency 耐贝西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</si>
  <si>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</si>
  <si>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联络：伍仁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微信：wuren13922344050
电话：13922344050</t>
    </r>
  </si>
  <si>
    <t>PS-钢板</t>
  </si>
  <si>
    <t>LYSAGHT来实</t>
  </si>
  <si>
    <t>Contact 联络：
We chat 微信：
Tel. 电话：
Mal.邮箱：
Ad. 地址：
Web.网址：</t>
  </si>
  <si>
    <t xml:space="preserve">屋面
墙面系统
结构楼承板系统
</t>
  </si>
  <si>
    <t xml:space="preserve">暗扣板(屋面)：最大单跨2350mm
暗扣板(墙面)：最大单跨3300mm
MAXIMA板(屋面）：最大单跨1600mm
MAXIMA板（墙面）：最大单跨2300mm
波纹板（屋面）：最大单跨800mm
波纹板（墙面）：最大单跨1800mm
多肋板（墙面）：最大单跨1200mm
平板：最大单跨1300mm
</t>
  </si>
  <si>
    <t>MAGA美嘉500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</si>
  <si>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</si>
  <si>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FB-</t>
    </r>
    <r>
      <rPr>
        <rFont val="Verdana"/>
        <color theme="1"/>
        <sz val="11.0"/>
      </rPr>
      <t>软包</t>
    </r>
  </si>
  <si>
    <t>MAHARAM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</si>
  <si>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</si>
  <si>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联络：Silvia Palomero 潘琳
We chat 微信：
Tel. 电话：+86 15901656145
Mal.邮箱：spalomero@maharam.com
Ad. 地址：Unit 2201,Block 2, Bridge 8, Phase lll 5550 Jumen Road
</t>
    </r>
    <r>
      <rPr>
        <rFont val="Arial"/>
        <color theme="1"/>
        <sz val="11.0"/>
      </rPr>
      <t>Huangpu District Shanghai 200023 China</t>
    </r>
  </si>
  <si>
    <t>LVT-半硬质片材塑胶地板</t>
  </si>
  <si>
    <t>Mannington（USA）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</si>
  <si>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</si>
  <si>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
We chat 微信：
Tel. 电话：61169399
Mal.邮箱：link-join@163.net
Ad. 地址：上海凌冲贸易有限公司
上+E26海市长宁区定西路788号凯阳大厦8楼F室
</t>
  </si>
  <si>
    <t>GP-玻璃隔断</t>
  </si>
  <si>
    <t>Marrs 马尔斯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</si>
  <si>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</si>
  <si>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联络：Andy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微信：Andy-Zhbo</t>
    </r>
  </si>
  <si>
    <t>Masion Dada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</si>
  <si>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</si>
  <si>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Maisondada. </t>
    </r>
    <r>
      <rPr>
        <rFont val="Verdana"/>
        <color theme="1"/>
        <sz val="11.0"/>
      </rPr>
      <t>｜</t>
    </r>
    <r>
      <rPr>
        <rFont val="Verdana"/>
        <color theme="1"/>
        <sz val="11.0"/>
      </rPr>
      <t xml:space="preserve">Sue Su
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floipodam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13651696220
Mal.</t>
    </r>
    <r>
      <rPr>
        <rFont val="Verdana"/>
        <color theme="1"/>
        <sz val="11.0"/>
      </rPr>
      <t>邮箱：</t>
    </r>
    <r>
      <rPr>
        <rFont val="Verdana"/>
        <color theme="1"/>
        <sz val="11.0"/>
      </rPr>
      <t xml:space="preserve">sue@maisondada.com
Ad. </t>
    </r>
    <r>
      <rPr>
        <rFont val="Verdana"/>
        <color theme="1"/>
        <sz val="11.0"/>
      </rPr>
      <t>地址：上海市静安区常德路</t>
    </r>
    <r>
      <rPr>
        <rFont val="Verdana"/>
        <color theme="1"/>
        <sz val="11.0"/>
      </rPr>
      <t>621</t>
    </r>
    <r>
      <rPr>
        <rFont val="Verdana"/>
        <color theme="1"/>
        <sz val="11.0"/>
      </rPr>
      <t>号</t>
    </r>
  </si>
  <si>
    <r>
      <rPr>
        <rFont val="stylus bt"/>
        <color theme="1"/>
        <sz val="11.0"/>
      </rPr>
      <t xml:space="preserve">MAX </t>
    </r>
    <r>
      <rPr>
        <rFont val="Verdana"/>
        <color theme="1"/>
        <sz val="11.0"/>
      </rPr>
      <t>麦司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</si>
  <si>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</si>
  <si>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联络：黎翠玉
We chat 微信：15026980290
Tel. 电话：15026980290
Mal.邮箱：123823307@qq.com
Ad. 地址：上海市徐汇区桂林路396号4号楼309室
</t>
  </si>
  <si>
    <r>
      <rPr>
        <rFont val="stylus bt"/>
        <color theme="1"/>
        <sz val="11.0"/>
      </rPr>
      <t>CO-</t>
    </r>
    <r>
      <rPr>
        <rFont val="Verdana"/>
        <color theme="1"/>
        <sz val="11.0"/>
      </rPr>
      <t xml:space="preserve">人造石
</t>
    </r>
  </si>
  <si>
    <r>
      <rPr>
        <rFont val="stylus bt"/>
        <color theme="1"/>
        <sz val="11.0"/>
      </rPr>
      <t>MEGANITE</t>
    </r>
    <r>
      <rPr>
        <rFont val="Verdana"/>
        <color theme="1"/>
        <sz val="11.0"/>
      </rPr>
      <t>（美国）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</si>
  <si>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</si>
  <si>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MIDOCOLOR </t>
    </r>
    <r>
      <rPr>
        <rFont val="Verdana"/>
        <color theme="1"/>
        <sz val="11.0"/>
      </rPr>
      <t>艺术涂料（意大利）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</si>
  <si>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</si>
  <si>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</si>
  <si>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r>
      <rPr>
        <rFont val="Arial"/>
        <color theme="1"/>
        <sz val="11.0"/>
      </rPr>
      <t xml:space="preserve">MILLIKEN </t>
    </r>
    <r>
      <rPr>
        <rFont val="Verdana"/>
        <color theme="1"/>
        <sz val="11.0"/>
      </rPr>
      <t>美利肯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</si>
  <si>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</si>
  <si>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联络：徐艳
We chat 微信：88893208xuyan
Tel. 电话：15216773536
Mal.邮箱：sxu@milliken.com 
Ad. 地址：徐汇区虹梅路1535弄2号楼16楼</t>
  </si>
  <si>
    <t>MINOTTI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</si>
  <si>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</si>
  <si>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联络：何伟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13918149946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13918149946
Mal.</t>
    </r>
    <r>
      <rPr>
        <rFont val="Verdana"/>
        <color theme="1"/>
        <sz val="11.0"/>
      </rPr>
      <t>邮箱：</t>
    </r>
    <r>
      <rPr>
        <rFont val="Verdana"/>
        <color theme="1"/>
        <sz val="11.0"/>
      </rPr>
      <t xml:space="preserve">karl-he@domustiandi.com
Ad. </t>
    </r>
    <r>
      <rPr>
        <rFont val="Verdana"/>
        <color theme="1"/>
        <sz val="11.0"/>
      </rPr>
      <t>地址：上海市黄浦区建国西路</t>
    </r>
    <r>
      <rPr>
        <rFont val="Verdana"/>
        <color theme="1"/>
        <sz val="11.0"/>
      </rPr>
      <t>151</t>
    </r>
    <r>
      <rPr>
        <rFont val="Verdana"/>
        <color theme="1"/>
        <sz val="11.0"/>
      </rPr>
      <t>号</t>
    </r>
    <r>
      <rPr>
        <rFont val="Verdana"/>
        <color theme="1"/>
        <sz val="11.0"/>
      </rPr>
      <t>minotti</t>
    </r>
    <r>
      <rPr>
        <rFont val="Verdana"/>
        <color theme="1"/>
        <sz val="11.0"/>
      </rPr>
      <t>旗舰店</t>
    </r>
  </si>
  <si>
    <r>
      <rPr>
        <rFont val="Arial"/>
        <color theme="1"/>
        <sz val="11.0"/>
      </rPr>
      <t>MOHAWK</t>
    </r>
    <r>
      <rPr>
        <rFont val="Verdana"/>
        <color theme="1"/>
        <sz val="11.0"/>
      </rPr>
      <t>莫和克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</si>
  <si>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</si>
  <si>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联络：张伟 Leon Zhang
We chat 微信：monday40
Tel. 电话：13501878715
Mal.邮箱：Leon_Zhang@mohawkind.com
Ad. 地址:莫和克贸易（上海）有限公司
200051上海市长宁区遵义路100号
虹桥南丰城A座8楼802-809</t>
  </si>
  <si>
    <t>RBF-橡胶地板（SPORT）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</si>
  <si>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</si>
  <si>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联络：徐帆
We chat 微信：
Tel. 电话：
Mal.邮箱
Ad. 地址：</t>
  </si>
  <si>
    <r>
      <rPr>
        <rFont val="stylus bt"/>
        <color theme="1"/>
        <sz val="11.0"/>
      </rPr>
      <t>TL-</t>
    </r>
    <r>
      <rPr>
        <rFont val="Verdana"/>
        <color theme="1"/>
        <sz val="11.0"/>
      </rPr>
      <t>瓷砖</t>
    </r>
  </si>
  <si>
    <t>Mosa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</si>
  <si>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</si>
  <si>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Mandy Chao
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02164695058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</si>
  <si>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NALC- 南京旭建新型建材</t>
  </si>
  <si>
    <t>Contact 联络：刘明斌
We chat 微信：
Tel. 电话：13851948566
Mal.邮箱：wmm@najalc.com
Ad. 地址：南京市建邺区楠溪江东街68号
Web.网址:www.najalc.cn</t>
  </si>
  <si>
    <t>建筑外墙
室内隔墙，室内吊顶
楼面
屋面</t>
  </si>
  <si>
    <t xml:space="preserve">4000L×1800W×150H（mm)
</t>
  </si>
  <si>
    <t>2000L×1000W×100H（mm)</t>
  </si>
  <si>
    <t>nora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</si>
  <si>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</si>
  <si>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
We chat 微信：
Tel. 电话：32262517
Mal.邮箱：info-cn@nora.com
Ad. 地址：诺拉建筑材料（上海）有限公司
上海市延安西路1566号龙峰大厦</t>
  </si>
  <si>
    <r>
      <rPr>
        <rFont val="stylus bt"/>
        <color theme="1"/>
        <sz val="11.0"/>
      </rPr>
      <t>LVT-</t>
    </r>
    <r>
      <rPr>
        <rFont val="Verdana"/>
        <color theme="1"/>
        <sz val="11.0"/>
      </rPr>
      <t>半硬质片材塑胶地板</t>
    </r>
  </si>
  <si>
    <t>Novalis 莱威立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</si>
  <si>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</si>
  <si>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联络：范健怡 </t>
    </r>
    <r>
      <rPr>
        <rFont val="Verdana"/>
        <color theme="1"/>
        <sz val="11.0"/>
      </rPr>
      <t xml:space="preserve">Jenny Fan
We chat </t>
    </r>
    <r>
      <rPr>
        <rFont val="Verdana"/>
        <color theme="1"/>
        <sz val="11.0"/>
      </rPr>
      <t>微信：je_459351097
Tel. 电话：17317598890
Mal.邮箱：jennyfan@modularspacegroup.com
Ad. 地址：美迪乐（上海）贸易有限公司
200040上海市北京西路1399号信达大厦21楼A座</t>
    </r>
  </si>
  <si>
    <t>OMEGAZETA</t>
  </si>
  <si>
    <t xml:space="preserve">Contact 联络：
We chat 微信：
Tel. 电话：（86）2583288069 
                    902223800
Mal.邮箱：comercial@panelomegazeta.com
Ad. 地址：江苏省南京市珠江路67号 华利国际大厦3605室
</t>
  </si>
  <si>
    <t>建筑Architecture 
室内Interior
景观 Lanscape</t>
  </si>
  <si>
    <t>建筑幕墙
室内墙体装饰
户外地面</t>
  </si>
  <si>
    <t>800-1300/平方米</t>
  </si>
  <si>
    <r>
      <rPr>
        <rFont val="stylus bt"/>
        <color theme="1"/>
        <sz val="11.0"/>
      </rPr>
      <t>FB-</t>
    </r>
    <r>
      <rPr>
        <rFont val="Verdana"/>
        <color theme="1"/>
        <sz val="11.0"/>
      </rPr>
      <t>软包</t>
    </r>
  </si>
  <si>
    <t>PARALLEL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</si>
  <si>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</si>
  <si>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</t>
    </r>
  </si>
  <si>
    <r>
      <rPr>
        <rFont val="stylus bt"/>
        <color theme="1"/>
        <sz val="11.0"/>
      </rPr>
      <t>GP-</t>
    </r>
    <r>
      <rPr>
        <rFont val="Verdana"/>
        <color theme="1"/>
        <sz val="11.0"/>
      </rPr>
      <t>玻璃隔断</t>
    </r>
  </si>
  <si>
    <t>PARTHOS 百度士活动隔断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</si>
  <si>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</si>
  <si>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联络：周祥涛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微信：Piet_zhou</t>
    </r>
  </si>
  <si>
    <t>Philips 飛利浦照明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</si>
  <si>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</si>
  <si>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联络：魏真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微信：johnsonweizhen
电话：13886000588</t>
    </r>
  </si>
  <si>
    <t>PILKINGTON</t>
  </si>
  <si>
    <t>Contact 联络：
We chat 微信：
Tel. 电话：+49（0）68873030
Mal.邮箱：
Ad. 地址：
Web.网址:www.profilit.com</t>
  </si>
  <si>
    <t xml:space="preserve">建筑幕墙
</t>
  </si>
  <si>
    <t>POLYFLOR 宝丽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</si>
  <si>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</si>
  <si>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
We chat 微信：
Tel. 电话：64437628
Mal.邮箱：infosh@polyflor.com.cn
Ad. 地址：
</t>
  </si>
  <si>
    <r>
      <rPr>
        <rFont val="stylus bt"/>
        <color theme="1"/>
        <sz val="11.0"/>
      </rPr>
      <t>CO-</t>
    </r>
    <r>
      <rPr>
        <rFont val="Verdana"/>
        <color theme="1"/>
        <sz val="11.0"/>
      </rPr>
      <t xml:space="preserve">人造石
</t>
    </r>
    <r>
      <rPr>
        <rFont val="Verdana"/>
        <color theme="1"/>
        <sz val="11.0"/>
      </rPr>
      <t>ST-</t>
    </r>
    <r>
      <rPr>
        <rFont val="Verdana"/>
        <color theme="1"/>
        <sz val="11.0"/>
      </rPr>
      <t>石材</t>
    </r>
  </si>
  <si>
    <r>
      <rPr>
        <rFont val="stylus bt"/>
        <color theme="1"/>
        <sz val="11.0"/>
      </rPr>
      <t xml:space="preserve">PORCELANOSA </t>
    </r>
    <r>
      <rPr>
        <rFont val="Verdana"/>
        <color theme="1"/>
        <sz val="11.0"/>
      </rPr>
      <t>宝瓷兰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</si>
  <si>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</si>
  <si>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联络：卢风琴
We chat 微信：wxid_5694436945211
Tel. 电话：
Mal.邮箱：
Ad. 地址：
</t>
  </si>
  <si>
    <t>PRINT普利（意大利）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</si>
  <si>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</si>
  <si>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</si>
  <si>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RES-树脂板</t>
  </si>
  <si>
    <t>PRODEMA普若德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</si>
  <si>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>联络：
We chat 微信：13795435546
Tel. 电话：13910591943
Mal.邮箱：wales.wang@prodex.com.cn
Ad. 地址：北京市东城区和平里七区16号楼</t>
    </r>
  </si>
  <si>
    <t>建筑幕墙 Curtain Wall</t>
  </si>
  <si>
    <r>
      <rPr>
        <rFont val="stylus bt"/>
        <color theme="1"/>
        <sz val="11.0"/>
      </rPr>
      <t>LVT-</t>
    </r>
    <r>
      <rPr>
        <rFont val="Verdana"/>
        <color theme="1"/>
        <sz val="11.0"/>
      </rPr>
      <t xml:space="preserve">半硬质片材塑胶地板
</t>
    </r>
    <r>
      <rPr>
        <rFont val="Verdana"/>
        <color theme="1"/>
        <sz val="11.0"/>
      </rPr>
      <t>SPC-</t>
    </r>
    <r>
      <rPr>
        <rFont val="Verdana"/>
        <color theme="1"/>
        <sz val="11.0"/>
      </rPr>
      <t>石塑地板</t>
    </r>
  </si>
  <si>
    <t>Project Floors （德国）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</si>
  <si>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</si>
  <si>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
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>邮箱：</t>
    </r>
    <r>
      <rPr>
        <rFont val="Verdana"/>
        <color theme="1"/>
        <sz val="11.0"/>
      </rPr>
      <t xml:space="preserve">
Ad. </t>
    </r>
    <r>
      <rPr>
        <rFont val="Verdana"/>
        <color theme="1"/>
        <sz val="11.0"/>
      </rPr>
      <t>地址：</t>
    </r>
  </si>
  <si>
    <r>
      <rPr>
        <rFont val="stylus bt"/>
        <color theme="1"/>
        <sz val="11.0"/>
      </rPr>
      <t>TFS-</t>
    </r>
    <r>
      <rPr>
        <rFont val="Verdana"/>
        <color theme="1"/>
        <sz val="11.0"/>
      </rPr>
      <t>采光板</t>
    </r>
  </si>
  <si>
    <r>
      <rPr>
        <rFont val="stylus bt"/>
        <color theme="1"/>
        <sz val="11.0"/>
      </rPr>
      <t>Redeca</t>
    </r>
    <r>
      <rPr>
        <rFont val="Verdana"/>
        <color theme="1"/>
        <sz val="11.0"/>
      </rPr>
      <t>（德国）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</si>
  <si>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</si>
  <si>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联络：王宇
We chat 微信：
Tel. 电话：
Mal.邮箱
Ad. 地址：</t>
  </si>
  <si>
    <t>Rhinofloor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</si>
  <si>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</si>
  <si>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联络：尹徇波 Steven Yin
We chat 微信：yxunbo
Tel. 电话：13817042347
Mal.邮箱：Steven.yin@Tarkett.com
Ad. 地址：得嘉亚太（上海）管理有限公司
20333上海市普陀区金沙江路1518弄1521-1549室
</t>
  </si>
  <si>
    <t xml:space="preserve">Rikett 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</si>
  <si>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</si>
  <si>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ACP-</t>
    </r>
    <r>
      <rPr>
        <rFont val="Verdana"/>
        <color theme="1"/>
        <sz val="11.0"/>
      </rPr>
      <t>吸音板</t>
    </r>
  </si>
  <si>
    <t>ROUGE PET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</si>
  <si>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</si>
  <si>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SLM-</t>
    </r>
    <r>
      <rPr>
        <rFont val="Verdana"/>
        <color theme="1"/>
        <sz val="11.0"/>
      </rPr>
      <t>水泥基自流平</t>
    </r>
  </si>
  <si>
    <t>saint-gobain 圣戈班伟伯水泥基自流平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</si>
  <si>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</si>
  <si>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联络：小跑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微信：wxid_tct3cqgd5cwy32</t>
    </r>
  </si>
  <si>
    <t>CPT-地毯
LVT-半硬质片材塑胶地板</t>
  </si>
  <si>
    <t>SHAW 萧氏地毯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</si>
  <si>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</si>
  <si>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</si>
  <si>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t>SHINY家居（定制）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</si>
  <si>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</si>
  <si>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联络：黄煜</t>
    </r>
    <r>
      <rPr>
        <rFont val="Verdana"/>
        <color theme="1"/>
        <sz val="11.0"/>
      </rPr>
      <t xml:space="preserve">
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1797307610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</si>
  <si>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r>
      <rPr>
        <rFont val="stylus bt"/>
        <color theme="1"/>
        <sz val="11.0"/>
      </rPr>
      <t>FB-</t>
    </r>
    <r>
      <rPr>
        <rFont val="Verdana"/>
        <color theme="1"/>
        <sz val="11.0"/>
      </rPr>
      <t>软包</t>
    </r>
  </si>
  <si>
    <t xml:space="preserve">Siensun上海学臻实业
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</si>
  <si>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</si>
  <si>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>Fiona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>wxid_a08b2x1t9roh22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>15601935997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</t>
    </r>
    <r>
      <rPr>
        <rFont val="Verdana"/>
        <color theme="1"/>
        <sz val="11.0"/>
      </rPr>
      <t xml:space="preserve">
</t>
    </r>
  </si>
  <si>
    <t>Space 4U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</si>
  <si>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</si>
  <si>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联络：郑儒月
We chat 微信：wxid_w2kkz1yy30z022
Tel. 电话：18964924426
Mal.邮箱：dry@space-4u.com
Ad. 地址：上海市华徐公路966号A座3楼</t>
  </si>
  <si>
    <t>Space Wall 上海隔墙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</si>
  <si>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</si>
  <si>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联络：顾慧民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微信：wellygu</t>
    </r>
  </si>
  <si>
    <r>
      <rPr>
        <rFont val="stylus bt"/>
        <color theme="1"/>
        <sz val="11.0"/>
      </rPr>
      <t>CPT-</t>
    </r>
    <r>
      <rPr>
        <rFont val="Verdana"/>
        <color theme="1"/>
        <sz val="11.0"/>
      </rPr>
      <t>地毯</t>
    </r>
  </si>
  <si>
    <t>TANDUS 坦德斯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</si>
  <si>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</si>
  <si>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CPT-地毯
PVC-塑胶地板（SPORT）</t>
  </si>
  <si>
    <t>TARKETT得嘉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</si>
  <si>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</si>
  <si>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PVC-塑胶地板（MULTI）
CPT-地毯
PVC-踢脚线</t>
  </si>
  <si>
    <r>
      <rPr>
        <rFont val="stylus bt"/>
        <color theme="1"/>
        <sz val="11.0"/>
      </rPr>
      <t xml:space="preserve">TOLI </t>
    </r>
    <r>
      <rPr>
        <rFont val="Verdana"/>
        <color theme="1"/>
        <sz val="11.0"/>
      </rPr>
      <t>东理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</si>
  <si>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</si>
  <si>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联络：黎翠玉
We chat 微信：15026980290
Tel. 电话：15026980290
Mal.邮箱：123823307@qq.com
Ad. 地址：上海市徐汇区桂林路396号4号楼309室</t>
  </si>
  <si>
    <r>
      <rPr>
        <rFont val="stylus bt"/>
        <color theme="1"/>
        <sz val="11.0"/>
      </rPr>
      <t>SW-</t>
    </r>
    <r>
      <rPr>
        <rFont val="Verdana"/>
        <color theme="1"/>
        <sz val="11.0"/>
      </rPr>
      <t>洁具</t>
    </r>
  </si>
  <si>
    <r>
      <rPr>
        <rFont val="stylus bt"/>
        <color theme="1"/>
        <sz val="11.0"/>
      </rPr>
      <t xml:space="preserve">ToTo </t>
    </r>
    <r>
      <rPr>
        <rFont val="Verdana"/>
        <color theme="1"/>
        <sz val="11.0"/>
      </rPr>
      <t>东陶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</si>
  <si>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</si>
  <si>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✨HPL-木纤维板</t>
  </si>
  <si>
    <t>Trespa 千思板木纤维板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</si>
  <si>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</si>
  <si>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联络：康桂梅Grace Kang
We chat 微信：kangguimei
Tel. 电话：+86 13472842175
               +8662881299-688
Mal.邮箱：g.kang@trespa.com
Ad. 地址：上海市淮海中路1045号
Web.网址：www.trespa.com
</t>
    </r>
  </si>
  <si>
    <t xml:space="preserve">建筑外墙
</t>
  </si>
  <si>
    <t>4270×2130mm
厚度：6/8/10/13mm</t>
  </si>
  <si>
    <t>2550×1860mm
厚度：6/8/10/13mm</t>
  </si>
  <si>
    <t>3050×1530mm
3650×1860mm
厚度：6/8/10/13mm</t>
  </si>
  <si>
    <r>
      <rPr>
        <rFont val="stylus bt"/>
        <color theme="1"/>
        <sz val="11.0"/>
      </rPr>
      <t>GB-</t>
    </r>
    <r>
      <rPr>
        <rFont val="Verdana"/>
        <color theme="1"/>
        <sz val="11.0"/>
      </rPr>
      <t>石膏板</t>
    </r>
    <r>
      <rPr>
        <rFont val="Verdana"/>
        <color theme="1"/>
        <sz val="11.0"/>
      </rPr>
      <t xml:space="preserve">
</t>
    </r>
  </si>
  <si>
    <t>USGBORAL 优时吉博罗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</si>
  <si>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</si>
  <si>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>联络：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 xml:space="preserve">微信：
</t>
    </r>
    <r>
      <rPr>
        <rFont val="Verdana"/>
        <color theme="1"/>
        <sz val="11.0"/>
      </rPr>
      <t xml:space="preserve">Tel. </t>
    </r>
    <r>
      <rPr>
        <rFont val="Verdana"/>
        <color theme="1"/>
        <sz val="11.0"/>
      </rPr>
      <t xml:space="preserve">电话：
</t>
    </r>
    <r>
      <rPr>
        <rFont val="Verdana"/>
        <color theme="1"/>
        <sz val="11.0"/>
      </rPr>
      <t>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 xml:space="preserve">地址：
</t>
    </r>
  </si>
  <si>
    <t xml:space="preserve">
</t>
  </si>
  <si>
    <t>VELUX 威卢克斯天窗</t>
  </si>
  <si>
    <r>
      <rPr>
        <rFont val="Arial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</si>
  <si>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Contact联络：朱德云
Wechat微信：wxid_q3aa22lud64h21
Tel. 电话：13681865498
Mal.邮箱：deyun.zhu@velux.com
Ad. 地址：河北省廊坊经济技术开发区白河道21号065001</t>
  </si>
  <si>
    <t>智能模块化系统窗
屋顶窗、平顶窗、立窗
太阳能动力窗、
室内外遮阳帘、
防护卷帘</t>
  </si>
  <si>
    <t>可开启VMS天窗：
3000×1000
固定VMS天窗：
3000×1000</t>
  </si>
  <si>
    <t>可开启VMS天窗：
1200×800
固定VMS天窗：
1200×800</t>
  </si>
  <si>
    <t>VentRock洛素</t>
  </si>
  <si>
    <t>Contact 联络：
We chat 微信：
Tel. 电话：（+86)2162116725
Mal.邮箱：
Ad. 地址：上海市长宁区延安西路1088号长峰
Web.网址：www.rockwool.com.cn</t>
  </si>
  <si>
    <t xml:space="preserve">建筑外墙
建筑围护结构
室内隔墙
屋面
浮筑楼板系统
</t>
  </si>
  <si>
    <t>600×1200(厚度50-150）</t>
  </si>
  <si>
    <t>VF燈具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</si>
  <si>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</si>
  <si>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联络：陈彩瑜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微信：Ccy-ttkx</t>
    </r>
  </si>
  <si>
    <r>
      <rPr>
        <rFont val="stylus bt"/>
        <color theme="1"/>
        <sz val="11.0"/>
      </rPr>
      <t>GW-</t>
    </r>
    <r>
      <rPr>
        <rFont val="Verdana"/>
        <color theme="1"/>
        <sz val="11.0"/>
      </rPr>
      <t>绿植</t>
    </r>
  </si>
  <si>
    <r>
      <rPr>
        <rFont val="stylus bt"/>
        <color theme="1"/>
        <sz val="11.0"/>
      </rPr>
      <t xml:space="preserve">VG </t>
    </r>
    <r>
      <rPr>
        <rFont val="Verdana"/>
        <color theme="1"/>
        <sz val="11.0"/>
      </rPr>
      <t>（新加坡）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</si>
  <si>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</si>
  <si>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联络：KIMI
We chat 微信：13816923017
Tel. 电话：13816923017
Mal.邮箱：Kimi.wang@orisis.com
Ad. 地址：上海市云岭东路599弄1号楼505</t>
  </si>
  <si>
    <t>陶板/陶管/陶砖</t>
  </si>
  <si>
    <t>VIC维克特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</si>
  <si>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>联络：
We chat 微信：
Tel. 电话：0510-87178666
              13262858171
Mal.邮箱：zhuxiangyu@vic-ceramic.com
Ad. 地址：宜兴市丁蜀镇三洞桥</t>
    </r>
  </si>
  <si>
    <t>陶砖：600x150x150
陶管：1800x300x80
         （弯弧半径≤1.5m)</t>
  </si>
  <si>
    <t>陶砖：600x40x40
陶管：1800x40x40
         （弯弧半径≤1.5m)</t>
  </si>
  <si>
    <t>Viridian</t>
  </si>
  <si>
    <t>建筑玻璃幕墙
室内玻璃隔断
屋顶</t>
  </si>
  <si>
    <r>
      <rPr>
        <rFont val="stylus bt"/>
        <color theme="1"/>
        <sz val="11.0"/>
      </rPr>
      <t>vive</t>
    </r>
    <r>
      <rPr>
        <rFont val="Verdana"/>
        <color theme="1"/>
        <sz val="11.0"/>
      </rPr>
      <t>路创照明控制系统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</si>
  <si>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</si>
  <si>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联络：满保珠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
电话：15221357966</t>
    </r>
  </si>
  <si>
    <r>
      <rPr>
        <rFont val="Arial"/>
        <color theme="1"/>
        <sz val="11.0"/>
      </rPr>
      <t>CPT-</t>
    </r>
    <r>
      <rPr>
        <rFont val="Verdana"/>
        <color theme="1"/>
        <sz val="11.0"/>
      </rPr>
      <t>地毯</t>
    </r>
  </si>
  <si>
    <r>
      <rPr>
        <rFont val="Arial"/>
        <color theme="1"/>
        <sz val="11.0"/>
      </rPr>
      <t>VORWERK(</t>
    </r>
    <r>
      <rPr>
        <rFont val="Verdana"/>
        <color theme="1"/>
        <sz val="11.0"/>
      </rPr>
      <t>Germany）</t>
    </r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</si>
  <si>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</si>
  <si>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VOXFLOR 華騰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</si>
  <si>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</si>
  <si>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 xml:space="preserve">Contact 联络：
We chat 微信：
Tel. 电话：02037949377
Mal.邮箱：enquiries@taylor.maxwell.co.uk
Ad. 地址：Cheadle Royal Business Park Cheshire SK8
</t>
  </si>
  <si>
    <t>wilsonart 威盛亚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</si>
  <si>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</si>
  <si>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>联络：Svenja（黄颖）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微信：hysvenja</t>
    </r>
  </si>
  <si>
    <t>WILSONART 威盛亚（美国）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</si>
  <si>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</si>
  <si>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stylus bt"/>
        <color theme="1"/>
        <sz val="11.0"/>
      </rPr>
      <t xml:space="preserve">Contact </t>
    </r>
    <r>
      <rPr>
        <rFont val="Verdana"/>
        <color theme="1"/>
        <sz val="11.0"/>
      </rPr>
      <t xml:space="preserve">联络：
</t>
    </r>
    <r>
      <rPr>
        <rFont val="Verdana"/>
        <color theme="1"/>
        <sz val="11.0"/>
      </rPr>
      <t xml:space="preserve">We chat </t>
    </r>
    <r>
      <rPr>
        <rFont val="Verdana"/>
        <color theme="1"/>
        <sz val="11.0"/>
      </rPr>
      <t>微信：</t>
    </r>
    <r>
      <rPr>
        <rFont val="Verdana"/>
        <color theme="1"/>
        <sz val="11.0"/>
      </rPr>
      <t xml:space="preserve">
Tel. </t>
    </r>
    <r>
      <rPr>
        <rFont val="Verdana"/>
        <color theme="1"/>
        <sz val="11.0"/>
      </rPr>
      <t>电话：</t>
    </r>
    <r>
      <rPr>
        <rFont val="Verdana"/>
        <color theme="1"/>
        <sz val="11.0"/>
      </rPr>
      <t xml:space="preserve">
Mal.</t>
    </r>
    <r>
      <rPr>
        <rFont val="Verdana"/>
        <color theme="1"/>
        <sz val="11.0"/>
      </rPr>
      <t xml:space="preserve">邮箱：
</t>
    </r>
    <r>
      <rPr>
        <rFont val="Verdana"/>
        <color theme="1"/>
        <sz val="11.0"/>
      </rPr>
      <t xml:space="preserve">Ad. </t>
    </r>
    <r>
      <rPr>
        <rFont val="Verdana"/>
        <color theme="1"/>
        <sz val="11.0"/>
      </rPr>
      <t>地址：</t>
    </r>
  </si>
  <si>
    <t>WINEGO 五羊艺冠吸音板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</si>
  <si>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</si>
  <si>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Verdana"/>
        <color theme="1"/>
        <sz val="11.0"/>
      </rPr>
      <t>联络：马雨薇</t>
    </r>
    <r>
      <rPr>
        <rFont val="Verdana"/>
        <color theme="1"/>
        <sz val="11.0"/>
      </rPr>
      <t xml:space="preserve">
</t>
    </r>
    <r>
      <rPr>
        <rFont val="Verdana"/>
        <color theme="1"/>
        <sz val="11.0"/>
      </rPr>
      <t>微信：WINEGO13392129246
电话：13392129246</t>
    </r>
  </si>
  <si>
    <t>WOODN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</si>
  <si>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电话：+39 0498960706
Mal.邮箱：info@woodn.com
Ad. 地址：via Caffi,17 32100 Belluno Italy
</t>
    </r>
    <r>
      <rPr>
        <rFont val="Arial"/>
        <color theme="1"/>
        <sz val="11.0"/>
      </rPr>
      <t>Web. 网站：www.woodn.com</t>
    </r>
  </si>
  <si>
    <t xml:space="preserve">
建筑幕墙 Curtain Wall
围栏
遮阳板
地板
装饰型天花板</t>
  </si>
  <si>
    <t>2200Lx3000W(mm)</t>
  </si>
  <si>
    <t>CARPOLY 嘉宝莉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</si>
  <si>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</si>
  <si>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 xml:space="preserve">联络：
We chat 微信：
Tel. 电话：0750-3578527
Mal.邮箱：
Ad. 地址：上海市金山区金山卫镇金山大道5111号
</t>
    </r>
    <r>
      <rPr>
        <rFont val="Arial"/>
        <color theme="1"/>
        <sz val="11.0"/>
      </rPr>
      <t>Web. 网站：www.carpoly.com</t>
    </r>
  </si>
  <si>
    <t>WDF（Sport）-木地板（含运动）</t>
  </si>
  <si>
    <t>BOEN 铂安（挪威立陶宛）</t>
  </si>
  <si>
    <r>
      <rPr>
        <rFont val="stylus bt"/>
        <color theme="1"/>
        <sz val="7.0"/>
      </rPr>
      <t xml:space="preserve">Refer to Actual Sample
</t>
    </r>
    <r>
      <rPr>
        <rFont val="Verdana"/>
        <color theme="1"/>
        <sz val="7.0"/>
      </rPr>
      <t>参考实际样品</t>
    </r>
  </si>
  <si>
    <t>Contact 联络：Miram 杨小姐
We chat 微信：PDF末二维码
Tel.电话：13918518778</t>
  </si>
  <si>
    <t>MONDO 盟多运功地板（国产+意大利）</t>
  </si>
  <si>
    <t>Contact 联络：徐帆 Calvin
We chat 微信：N/A
Tel. 电话：N/A
Mal.邮箱：N/A
Ad. 地址：N/A</t>
  </si>
  <si>
    <t>Flotex 植绒地毯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</si>
  <si>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>联络：张海青
We chat 微信：
Tel. 电话：13918319359
Mal.邮箱：N/A
Ad. 地址：</t>
    </r>
    <r>
      <rPr>
        <rFont val="Arial"/>
        <color theme="1"/>
        <sz val="11.0"/>
      </rPr>
      <t>上海长宁区中山西路999号华闻国际大厦1704室</t>
    </r>
  </si>
  <si>
    <t xml:space="preserve">
室内Interior</t>
  </si>
  <si>
    <t>Polytan 波利坦</t>
  </si>
  <si>
    <r>
      <rPr>
        <rFont val="Arial"/>
        <color theme="1"/>
        <sz val="11.0"/>
      </rPr>
      <t xml:space="preserve">Contact </t>
    </r>
    <r>
      <rPr>
        <rFont val="Verdana"/>
        <color theme="1"/>
        <sz val="11.0"/>
      </rPr>
      <t>联络：蒋劭鋆 ALEX JIANG
We chat 微信：
Tel. 电话：(0086) 186 1659 8573
Mal.邮箱：alex.jiang@sportgroup.com.cn
Ad. 地址：</t>
    </r>
    <r>
      <rPr>
        <rFont val="Arial"/>
        <color theme="1"/>
        <sz val="11.0"/>
      </rPr>
      <t>上海长宁区中山西路1055号A座16楼，1603-02室</t>
    </r>
  </si>
  <si>
    <t>RHEUNZUNK 莱茵辛克</t>
  </si>
  <si>
    <t>Contact 联络：彭向颖
We chat 微信：公众号二维码
Tel. 电话：+86 150 0032 4306
Mal.邮箱：rainie.peng@rheinzink.sh.cn
Ad. 地址：华东路5001号 第二大道128号</t>
  </si>
  <si>
    <t>TER-水磨石
PVC-塑胶地板</t>
  </si>
  <si>
    <t>SIKA 西卡商用地面系统</t>
  </si>
  <si>
    <t>Contact 联络：Lora Lu
We chat 微信：LoraLu001
Tel. 电话：+86 512 6273 2888
Mal.邮箱：
Ad. 地址：苏州工业园区泾东路28号</t>
  </si>
  <si>
    <t>SEED艺术瓷材</t>
  </si>
  <si>
    <t>Contact 联络：吴雪英 Shirley
We chat 微信：Shirley__Woo
Tel. 电话：+86 135 0188 5559
Mal.邮箱：wuxueying2010@126.com
Ad. 地址：上海市杨浦区逸仙路25号2层</t>
  </si>
  <si>
    <t>建筑Architecture
室内Interior</t>
  </si>
  <si>
    <t>AVA</t>
  </si>
  <si>
    <t>Contact 联络：Jenny Fan
We chat 微信：je_459351097
Mob. 手机：N/A
Tel. 电话：N/A
Mal.邮箱：N/A
Ad. 地址：N/A</t>
  </si>
  <si>
    <t>ARMSTRONG</t>
  </si>
  <si>
    <t>Contact 联络：赵翠 Caroline
We chat 微信：152 212 79473
Mob. 手机：+86 152 212 79473
Tel. 电话：N/A
Mal.邮箱：N/A
Ad. 地址：N/A</t>
  </si>
  <si>
    <t>标准尺寸：600×1200
厚度:50-150</t>
  </si>
  <si>
    <t>CS-天花系统（空气净化）</t>
  </si>
  <si>
    <t>PureSieving纯恒</t>
  </si>
  <si>
    <t>Contact 联络：马继红
We chat 微信：18616837511
Mob. 手机：+86 186 168 37511
Tel. 电话：+8621 6378 7018
Mal.邮箱：ELMA.MA @PURE-SIEVING.COM
Ad. 地址：上海市黄浦区中山南路1228号北方工业大厦2008室纯恒环境科技有限公司</t>
  </si>
  <si>
    <t>Spinneybeck &amp; Filzfelt</t>
  </si>
  <si>
    <t>ASI</t>
  </si>
  <si>
    <t>Contact 联络：Andy Huang 黄鋆
We chat 微信：177 2115 6302
Mob. 手机：177 2115 6302
Tel. 电话：+8624 3652 5261
Mal.邮箱：ahuang@asigroup.cn
Ad. 地址：上海市四平路188号上海商贸大厦1608室</t>
  </si>
  <si>
    <t>PC-墙板</t>
  </si>
  <si>
    <t>Carveboad卡夫板</t>
  </si>
  <si>
    <t>Contact 联络：N/A
We chat 微信：N/A
Mob. 手机：N/A
Tel. 电话：N/A
Mal.邮箱：N/A
Ad. 地址：N/A</t>
  </si>
  <si>
    <t>境道原竹</t>
  </si>
  <si>
    <t>Contact 联络：胡红满
We chat 微信：wxid_qjvyffhbismv22
Mob. 手机：13917712006
Tel. 电话：N/A
Mal.邮箱：jdyz2020@163.com
Ad. 地址：上海市境道原竹新金桥路58号银东大厦14楼C室</t>
  </si>
  <si>
    <t>富美家</t>
  </si>
  <si>
    <t>Contact 联络：孙凌阳 Eva Sun
We chat 微信：N/A
Mob. 手机：+86-138 1737 1024
Tel. 电话：+86-21-6010 2659
Mal.邮箱：Eva.Sun@formica.com
Ad. 地址：上海市青浦区 徐泾镇 涞港路181号 国家会展中心B栋办公楼407室</t>
  </si>
  <si>
    <t>SENAB</t>
  </si>
  <si>
    <t>Contact 联络：郑建波
We chat 微信：N/A
Mob. 手机：+86-138 1100 3953
Tel. 电话：+86-21 6335 3831
Mal.邮箱：foster.zheng@senab.com
Ad. 地址：上海市黄浦区 九江路501号德必118室</t>
  </si>
  <si>
    <t>MTP-金属板
水泥板</t>
  </si>
  <si>
    <t>Equitone</t>
  </si>
  <si>
    <t>Contact 联络：张鑫辰
We chat 微信：N/A
Mob. 手机：+86-18816923640
Tel. 电话：+86-58568001
Mal.邮箱：Allen.zhang@musher.cn
Ad. 地址：上海市浦东新区东明路1800弄尚东创意办公中心B1-08</t>
  </si>
  <si>
    <t>Rockfon天花</t>
  </si>
  <si>
    <t>Contact 联络：郑工
We chat 微信：N/A
Mob. 手机：+86-13636692992
Tel. 电话：+86-21 6225 5316
Mal.邮箱：info@rockfon.cn
Ad. 地址：上海市长宁区延安西路1088号长峰中心1401室</t>
  </si>
  <si>
    <t>Serge Ferrari 法拉利技术织物</t>
  </si>
  <si>
    <t>Contact 联络：黄永2
We chat 微信：HuangYong-eddy
Mob. 手机：+86-138 1769 0892
Tel. 电话：+86-(0)21 6211 6936
              ：+86-(0)21 6211 6389
Mal.邮箱：eddy.huang@sergeferrari.com.cn
Ad. 地址：上海市申滨路25号九星虹桥商务中心B栋206</t>
  </si>
  <si>
    <t>材料编号</t>
  </si>
  <si>
    <t>ALS-铝合金系统</t>
  </si>
  <si>
    <t>CO-人造石</t>
  </si>
  <si>
    <t>EFC-幕墙系统</t>
  </si>
  <si>
    <t>EPO-环氧地板</t>
  </si>
  <si>
    <t>EQ-设备</t>
  </si>
  <si>
    <t>GB-石膏板</t>
  </si>
  <si>
    <t>GF-玻纤板</t>
  </si>
  <si>
    <t>GRC-玻璃纤维增强混凝土</t>
  </si>
  <si>
    <t>GRG-预铸式玻璃纤维加强石膏板</t>
  </si>
  <si>
    <t>GW-绿植</t>
  </si>
  <si>
    <t>HPL-高压热固化木纤维板</t>
  </si>
  <si>
    <t>MF-矿棉板</t>
  </si>
  <si>
    <t>MR-镜子</t>
  </si>
  <si>
    <t>MT-金属</t>
  </si>
  <si>
    <t>PL-防火板</t>
  </si>
  <si>
    <t>PS-压型钢板</t>
  </si>
  <si>
    <t>RM-特殊卷材</t>
  </si>
  <si>
    <t>RS-卷帘</t>
  </si>
  <si>
    <t>RW-岩棉板</t>
  </si>
  <si>
    <t>SEC-晶泡板</t>
  </si>
  <si>
    <t>SLM-水泥基自流平</t>
  </si>
  <si>
    <t>SPC-石塑地板</t>
  </si>
  <si>
    <t>SS-开关面板</t>
  </si>
  <si>
    <t>SW-洁具</t>
  </si>
  <si>
    <t>TER-水磨石</t>
  </si>
  <si>
    <t>TFS-采光板</t>
  </si>
  <si>
    <t>WS（Glass）-隔断（玻璃）</t>
  </si>
  <si>
    <t>FLS-地坪系统</t>
  </si>
  <si>
    <t>胶粘剂</t>
  </si>
  <si>
    <t>CCL-陶土</t>
  </si>
  <si>
    <t>HR-扶手</t>
  </si>
  <si>
    <t>WV-木饰面板</t>
  </si>
  <si>
    <t>CF-陶瓷岩板</t>
  </si>
  <si>
    <t>EVA TEAM</t>
  </si>
  <si>
    <t>0^*yb5zN!mrzVYF3qbBCvx4H</t>
  </si>
  <si>
    <t>EVA  MATERIAL</t>
  </si>
  <si>
    <t>hBVWO#H24JTbP9U#pgbFVYPu</t>
  </si>
  <si>
    <t>Alanwang</t>
  </si>
  <si>
    <t>aXxnC7</t>
  </si>
  <si>
    <t>Chichiso</t>
  </si>
  <si>
    <t>XmUh2C</t>
  </si>
  <si>
    <t>Licen</t>
  </si>
  <si>
    <t>Rth8PD</t>
  </si>
  <si>
    <t>Shenjun</t>
  </si>
  <si>
    <t>oMJo24</t>
  </si>
  <si>
    <t>Mengsilu</t>
  </si>
  <si>
    <t>vqs4LY</t>
  </si>
  <si>
    <t>Xuxinyan</t>
  </si>
  <si>
    <t>V5P3zd</t>
  </si>
  <si>
    <t>Hemiao</t>
  </si>
  <si>
    <t>CMFh2i</t>
  </si>
  <si>
    <t>Chuwen</t>
  </si>
  <si>
    <t>xuN3P3</t>
  </si>
  <si>
    <t>Liugongming</t>
  </si>
  <si>
    <t>KNM2eS</t>
  </si>
  <si>
    <t>Yangkueihan</t>
  </si>
  <si>
    <t>Q5gxiB</t>
  </si>
  <si>
    <t>Wangxin</t>
  </si>
  <si>
    <t>TH3TnD</t>
  </si>
  <si>
    <t>Qiaozixu</t>
  </si>
  <si>
    <t>ZA75tb</t>
  </si>
  <si>
    <t>Zhangdaniel</t>
  </si>
  <si>
    <t>qKbN8R</t>
  </si>
  <si>
    <t>Liangelza</t>
  </si>
  <si>
    <t>5KBnok</t>
  </si>
  <si>
    <t>Antony</t>
  </si>
  <si>
    <t>H2t8Q3</t>
  </si>
  <si>
    <t>Qiansissi</t>
  </si>
  <si>
    <t>Ho7psw</t>
  </si>
  <si>
    <t>Zhuosidney</t>
  </si>
  <si>
    <t>3k3ZmF</t>
  </si>
  <si>
    <t>Wuxuejiao</t>
  </si>
  <si>
    <t>Si2oJR</t>
  </si>
  <si>
    <t>Luweixin</t>
  </si>
  <si>
    <t>2fPJeK</t>
  </si>
  <si>
    <t>Zhangrui</t>
  </si>
  <si>
    <t>Qh2oLJ</t>
  </si>
  <si>
    <t>Xuzhenzhen</t>
  </si>
  <si>
    <t xml:space="preserve">jby3Dk </t>
  </si>
  <si>
    <t>Hekeren</t>
  </si>
  <si>
    <t>Wf4ohk</t>
  </si>
  <si>
    <t>种类 （室内）</t>
  </si>
  <si>
    <t>目前数量</t>
  </si>
  <si>
    <t>之后所需数量</t>
  </si>
  <si>
    <t>样品</t>
  </si>
  <si>
    <t xml:space="preserve">CARPET      地毯（CPT) </t>
  </si>
  <si>
    <t>carpet(big/small)</t>
  </si>
  <si>
    <t>LUXURY VINYL TILE      塑胶地板（PVC）</t>
  </si>
  <si>
    <t xml:space="preserve">luxury Vinyl Tile(small) </t>
  </si>
  <si>
    <t>Poly Vinyl Chloride     塑胶地板 运动型（PVC SPORT）</t>
  </si>
  <si>
    <t>RUBBER FLOOR    橡胶地板（RBF)</t>
  </si>
  <si>
    <t>SANITARY WARE   洁具（SW）</t>
  </si>
  <si>
    <t>FURNITURE     家具（FU）</t>
  </si>
  <si>
    <t>FABRIC     软包 （FB)</t>
  </si>
  <si>
    <t>Fabric (too much)</t>
  </si>
  <si>
    <t>ACOUSTIC PANEL     吸音板 （ACP）</t>
  </si>
  <si>
    <t>SWITCH SOCKET     插座开关 （SS)</t>
  </si>
  <si>
    <t>PLASTIC LAMINATE      防火板 （PL)</t>
  </si>
  <si>
    <t xml:space="preserve">Plastic Laminate </t>
  </si>
  <si>
    <t>FLIM     膜 （FLM)</t>
  </si>
  <si>
    <t>LIGHTING      灯具 （LT)</t>
  </si>
  <si>
    <t>ROCKWOOL      岩棉板 （RW）</t>
  </si>
  <si>
    <t>ALUMINUM CEILING PANEL      铝复合板 （ALU)</t>
  </si>
  <si>
    <t>GLASS FIBER      纤维板 （GF)</t>
  </si>
  <si>
    <t>GLAZED PARTITION         玻璃隔断 （GP）</t>
  </si>
  <si>
    <t>WOOD VENEER      木皮 （WDV）</t>
  </si>
  <si>
    <t xml:space="preserve"> SEAMLESS  ACOUSTIC SYSTERM     晶泡板（SEC）</t>
  </si>
  <si>
    <t>Seamless Acoustic Systerm</t>
  </si>
  <si>
    <t>METAL     金属（MT）</t>
  </si>
  <si>
    <t>CORIAN     人造石 台面（CO）</t>
  </si>
  <si>
    <t>RESIN      树脂板（RES）</t>
  </si>
  <si>
    <t>MINERAL FIBER      矿棉板 （MF)</t>
  </si>
  <si>
    <t>种类（建筑）</t>
  </si>
  <si>
    <t>TILE   砖 （TL)</t>
  </si>
  <si>
    <t>WOOD FLOOR    木地板 （WDF）</t>
  </si>
  <si>
    <t>WOOD -PLASTIC COMPOSITE    木塑复合材料 (WPC)</t>
  </si>
  <si>
    <t>CONCRETE</t>
  </si>
  <si>
    <t>项目名称</t>
  </si>
  <si>
    <t>项目类型</t>
  </si>
  <si>
    <t>设计范围</t>
  </si>
  <si>
    <t>地理位置</t>
  </si>
  <si>
    <t>阶段</t>
  </si>
  <si>
    <t>面积</t>
  </si>
  <si>
    <t>状态</t>
  </si>
  <si>
    <t>模式</t>
  </si>
  <si>
    <t>研学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</si>
</sst>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2.0"/>
      <color theme="1"/>
      <name val="Stylus bt"/>
      <scheme val="minor"/>
    </font>
    <font>
      <color theme="1"/>
      <name val="Arial"/>
    </font>
    <font>
      <color theme="1"/>
      <name val="Stylus bt"/>
      <scheme val="minor"/>
    </font>
    <font>
      <sz val="12.0"/>
      <color theme="1"/>
      <name val="微软雅黑 Light"/>
    </font>
    <font>
      <color rgb="FF000000"/>
      <name val="Arial"/>
    </font>
    <font>
      <sz val="12.0"/>
      <color rgb="FF000000"/>
      <name val="Arial"/>
    </font>
    <font>
      <sz val="12.0"/>
      <color theme="1"/>
      <name val="微软雅黑"/>
    </font>
    <font>
      <sz val="12.0"/>
      <color theme="1"/>
      <name val="宋体"/>
    </font>
    <font>
      <sz val="12.0"/>
      <color theme="1"/>
      <name val="等线"/>
    </font>
    <font>
      <sz val="12.0"/>
      <color theme="1"/>
      <name val="方正兰亭纤黑简体"/>
    </font>
    <font>
      <color theme="1"/>
      <name val="等线"/>
    </font>
    <font>
      <sz val="11.0"/>
      <color theme="1"/>
      <name val="宋体"/>
    </font>
    <font>
      <color rgb="FFFF0000"/>
      <name val="Arial"/>
    </font>
    <font>
      <color rgb="FFCC0000"/>
      <name val="Arial"/>
    </font>
    <font>
      <sz val="12.0"/>
      <color rgb="FFCC0000"/>
      <name val="Arial"/>
    </font>
    <font>
      <sz val="12.0"/>
      <color rgb="FF000000"/>
      <name val="微软雅黑 Light"/>
    </font>
    <font>
      <color theme="1"/>
      <name val="微软雅黑"/>
    </font>
    <font>
      <color rgb="FF000000"/>
      <name val="Roboto"/>
    </font>
    <font>
      <sz val="11.0"/>
      <color theme="1"/>
      <name val="微软雅黑 Light"/>
    </font>
    <font>
      <sz val="11.0"/>
      <color rgb="FF000000"/>
      <name val="宋体"/>
    </font>
    <font>
      <sz val="11.0"/>
      <color theme="0"/>
      <name val="Stylus bt"/>
      <scheme val="minor"/>
    </font>
    <font>
      <sz val="11.0"/>
      <color theme="1"/>
      <name val="Stylus bt"/>
      <scheme val="minor"/>
    </font>
    <font>
      <sz val="7.0"/>
      <color theme="1"/>
      <name val="Stylus bt"/>
      <scheme val="minor"/>
    </font>
    <font>
      <sz val="11.0"/>
      <color theme="1"/>
      <name val="Arial"/>
    </font>
    <font>
      <sz val="10.0"/>
      <color theme="1"/>
      <name val="Arial"/>
    </font>
    <font>
      <b/>
      <sz val="21.0"/>
      <color theme="1"/>
      <name val="Stylus bt"/>
      <scheme val="minor"/>
    </font>
    <font>
      <sz val="19.0"/>
      <color theme="1"/>
      <name val="Arial"/>
    </font>
    <font>
      <b/>
      <sz val="11.0"/>
      <color theme="0"/>
      <name val="Stylus bt"/>
      <scheme val="minor"/>
    </font>
    <font>
      <b/>
      <sz val="11.0"/>
      <color theme="1"/>
      <name val="Stylus bt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color rgb="FF0000FF"/>
      <name val="Arial"/>
    </font>
    <font>
      <u/>
      <sz val="11.0"/>
      <color theme="1"/>
      <name val="Arial"/>
    </font>
    <font>
      <sz val="11.0"/>
      <color rgb="FFFF0000"/>
      <name val="Arial"/>
    </font>
    <font>
      <sz val="12.0"/>
      <color rgb="FF0000FF"/>
      <name val="Arial"/>
    </font>
    <font>
      <u/>
      <sz val="11.0"/>
      <color theme="1"/>
    </font>
    <font>
      <sz val="11.0"/>
      <color rgb="FF0000FF"/>
      <name val="Stylus bt"/>
      <scheme val="minor"/>
    </font>
    <font>
      <sz val="11.0"/>
      <color rgb="FFFF00FF"/>
      <name val="Arial"/>
    </font>
    <font>
      <u/>
      <sz val="11.0"/>
      <color rgb="FF1155CC"/>
      <name val="Arial"/>
    </font>
    <font>
      <sz val="11.0"/>
      <color theme="1"/>
    </font>
    <font>
      <sz val="11.0"/>
      <color rgb="FFFF9900"/>
      <name val="Arial"/>
    </font>
    <font>
      <u/>
      <sz val="11.0"/>
      <color rgb="FF1155CC"/>
      <name val="Arial"/>
    </font>
    <font>
      <sz val="11.0"/>
      <color theme="1"/>
      <name val="Verdana"/>
    </font>
    <font>
      <u/>
      <sz val="11.0"/>
      <color theme="1"/>
      <name val="Stylus bt"/>
      <scheme val="minor"/>
    </font>
    <font>
      <sz val="11.0"/>
      <color rgb="FFCC0000"/>
      <name val="Arial"/>
    </font>
    <font>
      <b/>
      <sz val="14.0"/>
      <color theme="1"/>
      <name val="Arial"/>
    </font>
    <font>
      <b/>
      <sz val="14.0"/>
      <color theme="1"/>
      <name val="等线"/>
    </font>
    <font>
      <sz val="18.0"/>
      <color theme="1"/>
      <name val="等线"/>
    </font>
    <font>
      <sz val="12.0"/>
      <color theme="1"/>
      <name val="Arial"/>
    </font>
    <font>
      <sz val="14.0"/>
      <color theme="1"/>
      <name val="Stylus bt"/>
      <scheme val="minor"/>
    </font>
    <font>
      <b/>
      <color theme="1"/>
      <name val="Arial"/>
    </font>
    <font>
      <b/>
      <color theme="1"/>
      <name val="Stylus bt"/>
      <scheme val="minor"/>
    </font>
    <font>
      <sz val="12.0"/>
      <color rgb="FF000000"/>
      <name val="Roboto"/>
    </font>
    <font>
      <sz val="12.0"/>
      <color rgb="FFFF0000"/>
      <name val="Arial"/>
    </font>
    <font>
      <sz val="12.0"/>
      <color theme="1"/>
      <name val="&quot;stylus bt&quot;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6">
    <border/>
    <border>
      <left/>
      <right/>
      <top/>
      <bottom/>
    </border>
    <border>
      <left/>
      <top/>
      <bottom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3" fontId="1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vertical="center"/>
    </xf>
    <xf borderId="0" fillId="3" fontId="3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0" fillId="3" fontId="5" numFmtId="0" xfId="0" applyAlignment="1" applyFont="1">
      <alignment horizontal="right" readingOrder="0" vertical="center"/>
    </xf>
    <xf borderId="0" fillId="3" fontId="6" numFmtId="0" xfId="0" applyAlignment="1" applyFont="1">
      <alignment readingOrder="0" vertical="center"/>
    </xf>
    <xf borderId="0" fillId="3" fontId="7" numFmtId="0" xfId="0" applyAlignment="1" applyFont="1">
      <alignment readingOrder="0" vertical="center"/>
    </xf>
    <xf borderId="0" fillId="3" fontId="8" numFmtId="0" xfId="0" applyAlignment="1" applyFont="1">
      <alignment readingOrder="0" vertical="center"/>
    </xf>
    <xf borderId="0" fillId="3" fontId="9" numFmtId="0" xfId="0" applyAlignment="1" applyFont="1">
      <alignment readingOrder="0" vertical="center"/>
    </xf>
    <xf borderId="0" fillId="3" fontId="1" numFmtId="0" xfId="0" applyAlignment="1" applyFont="1">
      <alignment readingOrder="0" shrinkToFit="0" vertical="center" wrapText="0"/>
    </xf>
    <xf borderId="0" fillId="5" fontId="5" numFmtId="0" xfId="0" applyAlignment="1" applyFill="1" applyFont="1">
      <alignment horizontal="right" readingOrder="0" vertical="center"/>
    </xf>
    <xf borderId="0" fillId="5" fontId="1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0"/>
    </xf>
    <xf borderId="0" fillId="5" fontId="2" numFmtId="0" xfId="0" applyAlignment="1" applyFont="1">
      <alignment vertical="center"/>
    </xf>
    <xf borderId="0" fillId="3" fontId="10" numFmtId="0" xfId="0" applyAlignment="1" applyFont="1">
      <alignment readingOrder="0" vertical="center"/>
    </xf>
    <xf borderId="0" fillId="5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5" numFmtId="0" xfId="0" applyAlignment="1" applyFont="1">
      <alignment horizontal="left" readingOrder="0" vertical="center"/>
    </xf>
    <xf borderId="0" fillId="3" fontId="1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1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6" fontId="2" numFmtId="0" xfId="0" applyAlignment="1" applyFill="1" applyFont="1">
      <alignment vertical="center"/>
    </xf>
    <xf borderId="0" fillId="7" fontId="1" numFmtId="0" xfId="0" applyAlignment="1" applyFill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9" fontId="1" numFmtId="0" xfId="0" applyAlignment="1" applyFill="1" applyFont="1">
      <alignment readingOrder="0" shrinkToFit="0" vertical="center" wrapText="1"/>
    </xf>
    <xf borderId="0" fillId="9" fontId="1" numFmtId="0" xfId="0" applyAlignment="1" applyFont="1">
      <alignment readingOrder="0" vertical="center"/>
    </xf>
    <xf borderId="0" fillId="10" fontId="1" numFmtId="0" xfId="0" applyAlignment="1" applyFill="1" applyFont="1">
      <alignment readingOrder="0" vertical="center"/>
    </xf>
    <xf borderId="0" fillId="11" fontId="1" numFmtId="0" xfId="0" applyAlignment="1" applyFill="1" applyFont="1">
      <alignment readingOrder="0" vertical="center"/>
    </xf>
    <xf borderId="0" fillId="6" fontId="1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10" fontId="12" numFmtId="0" xfId="0" applyAlignment="1" applyFont="1">
      <alignment readingOrder="0" vertical="center"/>
    </xf>
    <xf borderId="0" fillId="11" fontId="4" numFmtId="0" xfId="0" applyAlignment="1" applyFont="1">
      <alignment readingOrder="0" vertical="center"/>
    </xf>
    <xf borderId="0" fillId="11" fontId="1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vertical="center"/>
    </xf>
    <xf borderId="0" fillId="6" fontId="1" numFmtId="0" xfId="0" applyAlignment="1" applyFont="1">
      <alignment readingOrder="0" shrinkToFit="0" vertical="center" wrapText="1"/>
    </xf>
    <xf borderId="0" fillId="12" fontId="1" numFmtId="0" xfId="0" applyAlignment="1" applyFill="1" applyFont="1">
      <alignment readingOrder="0" vertical="center"/>
    </xf>
    <xf borderId="0" fillId="12" fontId="1" numFmtId="0" xfId="0" applyAlignment="1" applyFont="1">
      <alignment readingOrder="0" shrinkToFit="0" vertical="center" wrapText="1"/>
    </xf>
    <xf borderId="0" fillId="12" fontId="3" numFmtId="0" xfId="0" applyAlignment="1" applyFont="1">
      <alignment readingOrder="0" shrinkToFit="0" vertical="center" wrapText="1"/>
    </xf>
    <xf borderId="0" fillId="12" fontId="5" numFmtId="0" xfId="0" applyAlignment="1" applyFont="1">
      <alignment horizontal="left" readingOrder="0" vertical="center"/>
    </xf>
    <xf borderId="0" fillId="12" fontId="2" numFmtId="0" xfId="0" applyAlignment="1" applyFont="1">
      <alignment vertical="center"/>
    </xf>
    <xf borderId="0" fillId="12" fontId="1" numFmtId="0" xfId="0" applyAlignment="1" applyFont="1">
      <alignment horizontal="right" readingOrder="0" vertical="center"/>
    </xf>
    <xf borderId="0" fillId="12" fontId="5" numFmtId="0" xfId="0" applyAlignment="1" applyFont="1">
      <alignment horizontal="right" readingOrder="0" vertical="center"/>
    </xf>
    <xf borderId="0" fillId="12" fontId="4" numFmtId="0" xfId="0" applyAlignment="1" applyFont="1">
      <alignment readingOrder="0" vertical="center"/>
    </xf>
    <xf borderId="0" fillId="12" fontId="4" numFmtId="0" xfId="0" applyAlignment="1" applyFont="1">
      <alignment readingOrder="0" shrinkToFit="0" vertical="center" wrapText="1"/>
    </xf>
    <xf borderId="0" fillId="12" fontId="12" numFmtId="0" xfId="0" applyAlignment="1" applyFont="1">
      <alignment readingOrder="0" vertical="center"/>
    </xf>
    <xf borderId="0" fillId="12" fontId="4" numFmtId="0" xfId="0" applyAlignment="1" applyFont="1">
      <alignment horizontal="right" readingOrder="0" vertical="center"/>
    </xf>
    <xf borderId="0" fillId="12" fontId="1" numFmtId="0" xfId="0" applyAlignment="1" applyFont="1">
      <alignment horizontal="right" readingOrder="0" shrinkToFit="0" vertical="center" wrapText="1"/>
    </xf>
    <xf borderId="0" fillId="12" fontId="13" numFmtId="0" xfId="0" applyAlignment="1" applyFont="1">
      <alignment horizontal="right" readingOrder="0" vertical="center"/>
    </xf>
    <xf borderId="0" fillId="12" fontId="12" numFmtId="0" xfId="0" applyAlignment="1" applyFont="1">
      <alignment horizontal="right" readingOrder="0" vertical="center"/>
    </xf>
    <xf borderId="0" fillId="12" fontId="14" numFmtId="0" xfId="0" applyAlignment="1" applyFont="1">
      <alignment horizontal="right" readingOrder="0" vertical="center"/>
    </xf>
    <xf borderId="0" fillId="12" fontId="1" numFmtId="0" xfId="0" applyAlignment="1" applyFont="1">
      <alignment readingOrder="0" shrinkToFit="0" vertical="center" wrapText="1"/>
    </xf>
    <xf borderId="0" fillId="12" fontId="13" numFmtId="0" xfId="0" applyAlignment="1" applyFont="1">
      <alignment readingOrder="0" shrinkToFit="0" vertical="center" wrapText="1"/>
    </xf>
    <xf borderId="0" fillId="12" fontId="5" numFmtId="0" xfId="0" applyAlignment="1" applyFont="1">
      <alignment horizontal="left" readingOrder="0" shrinkToFit="0" vertical="center" wrapText="1"/>
    </xf>
    <xf borderId="0" fillId="12" fontId="3" numFmtId="0" xfId="0" applyAlignment="1" applyFont="1">
      <alignment readingOrder="0" vertical="center"/>
    </xf>
    <xf borderId="0" fillId="12" fontId="13" numFmtId="0" xfId="0" applyAlignment="1" applyFont="1">
      <alignment readingOrder="0" vertical="center"/>
    </xf>
    <xf borderId="0" fillId="12" fontId="7" numFmtId="0" xfId="0" applyAlignment="1" applyFont="1">
      <alignment readingOrder="0" shrinkToFit="0" vertical="center" wrapText="1"/>
    </xf>
    <xf borderId="0" fillId="12" fontId="3" numFmtId="0" xfId="0" applyAlignment="1" applyFont="1">
      <alignment horizontal="left" readingOrder="0" shrinkToFit="0" vertical="center" wrapText="1"/>
    </xf>
    <xf borderId="0" fillId="12" fontId="9" numFmtId="0" xfId="0" applyAlignment="1" applyFont="1">
      <alignment readingOrder="0" shrinkToFit="0" vertical="center" wrapText="1"/>
    </xf>
    <xf borderId="0" fillId="12" fontId="10" numFmtId="0" xfId="0" applyAlignment="1" applyFont="1">
      <alignment readingOrder="0" shrinkToFit="0" vertical="center" wrapText="1"/>
    </xf>
    <xf borderId="0" fillId="12" fontId="2" numFmtId="0" xfId="0" applyAlignment="1" applyFont="1">
      <alignment readingOrder="0" shrinkToFit="0" vertical="center" wrapText="1"/>
    </xf>
    <xf borderId="0" fillId="12" fontId="11" numFmtId="0" xfId="0" applyAlignment="1" applyFont="1">
      <alignment readingOrder="0" vertical="center"/>
    </xf>
    <xf borderId="0" fillId="13" fontId="5" numFmtId="0" xfId="0" applyAlignment="1" applyFill="1" applyFont="1">
      <alignment horizontal="left"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12" fontId="1" numFmtId="0" xfId="0" applyAlignment="1" applyFont="1">
      <alignment horizontal="right" readingOrder="0" shrinkToFit="0" vertical="center" wrapText="0"/>
    </xf>
    <xf borderId="0" fillId="12" fontId="15" numFmtId="0" xfId="0" applyAlignment="1" applyFont="1">
      <alignment readingOrder="0" shrinkToFit="0" vertical="center" wrapText="1"/>
    </xf>
    <xf borderId="0" fillId="12" fontId="16" numFmtId="0" xfId="0" applyAlignment="1" applyFont="1">
      <alignment readingOrder="0" shrinkToFit="0" vertical="center" wrapText="1"/>
    </xf>
    <xf borderId="0" fillId="12" fontId="8" numFmtId="0" xfId="0" applyAlignment="1" applyFont="1">
      <alignment readingOrder="0" shrinkToFit="0" vertical="center" wrapText="1"/>
    </xf>
    <xf borderId="0" fillId="12" fontId="17" numFmtId="0" xfId="0" applyAlignment="1" applyFont="1">
      <alignment readingOrder="0" shrinkToFit="0" vertical="center" wrapText="1"/>
    </xf>
    <xf borderId="0" fillId="12" fontId="18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2" fontId="1" numFmtId="0" xfId="0" applyAlignment="1" applyFont="1">
      <alignment readingOrder="0" shrinkToFit="0" vertical="center" wrapText="0"/>
    </xf>
    <xf borderId="0" fillId="12" fontId="12" numFmtId="0" xfId="0" applyAlignment="1" applyFont="1">
      <alignment readingOrder="0" shrinkToFit="0" vertical="center" wrapText="1"/>
    </xf>
    <xf borderId="0" fillId="12" fontId="5" numFmtId="10" xfId="0" applyAlignment="1" applyFont="1" applyNumberFormat="1">
      <alignment horizontal="right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right" readingOrder="0" vertical="center"/>
    </xf>
    <xf borderId="0" fillId="3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2" numFmtId="0" xfId="0" applyAlignment="1" applyFont="1">
      <alignment horizontal="right" readingOrder="0" vertical="center"/>
    </xf>
    <xf borderId="0" fillId="12" fontId="19" numFmtId="0" xfId="0" applyAlignment="1" applyFont="1">
      <alignment readingOrder="0" shrinkToFit="0" vertical="center" wrapText="1"/>
    </xf>
    <xf borderId="0" fillId="12" fontId="2" numFmtId="0" xfId="0" applyAlignment="1" applyFont="1">
      <alignment shrinkToFit="0" vertical="center" wrapText="0"/>
    </xf>
    <xf borderId="0" fillId="12" fontId="1" numFmtId="0" xfId="0" applyAlignment="1" applyFont="1">
      <alignment horizontal="right" readingOrder="0" shrinkToFit="0" vertical="center" wrapText="0"/>
    </xf>
    <xf borderId="0" fillId="12" fontId="1" numFmtId="0" xfId="0" applyAlignment="1" applyFont="1">
      <alignment horizontal="left" readingOrder="0" shrinkToFit="0" vertical="center" wrapText="1"/>
    </xf>
    <xf borderId="0" fillId="12" fontId="7" numFmtId="0" xfId="0" applyAlignment="1" applyFont="1">
      <alignment readingOrder="0" vertical="center"/>
    </xf>
    <xf borderId="0" fillId="12" fontId="13" numFmtId="0" xfId="0" applyAlignment="1" applyFont="1">
      <alignment horizontal="right" readingOrder="0" shrinkToFit="0" vertical="center" wrapText="1"/>
    </xf>
    <xf borderId="0" fillId="12" fontId="11" numFmtId="0" xfId="0" applyAlignment="1" applyFont="1">
      <alignment readingOrder="0" shrinkToFit="0" vertical="center" wrapText="1"/>
    </xf>
    <xf borderId="0" fillId="12" fontId="1" numFmtId="0" xfId="0" applyAlignment="1" applyFont="1">
      <alignment readingOrder="0" shrinkToFit="0" vertical="center" wrapText="0"/>
    </xf>
    <xf borderId="0" fillId="12" fontId="8" numFmtId="0" xfId="0" applyAlignment="1" applyFont="1">
      <alignment readingOrder="0" vertical="center"/>
    </xf>
    <xf borderId="0" fillId="12" fontId="1" numFmtId="0" xfId="0" applyAlignment="1" applyFont="1">
      <alignment readingOrder="0" shrinkToFit="0" vertical="center" wrapText="0"/>
    </xf>
    <xf borderId="1" fillId="14" fontId="20" numFmtId="0" xfId="0" applyAlignment="1" applyBorder="1" applyFill="1" applyFont="1">
      <alignment vertical="center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shrinkToFit="0" vertical="top" wrapText="1"/>
    </xf>
    <xf borderId="0" fillId="0" fontId="23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horizontal="left" vertical="center"/>
    </xf>
    <xf borderId="0" fillId="0" fontId="24" numFmtId="0" xfId="0" applyAlignment="1" applyFont="1">
      <alignment readingOrder="0" vertical="center"/>
    </xf>
    <xf borderId="0" fillId="15" fontId="26" numFmtId="0" xfId="0" applyAlignment="1" applyFill="1" applyFont="1">
      <alignment horizontal="left" readingOrder="0" vertical="center"/>
    </xf>
    <xf borderId="1" fillId="14" fontId="27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13" fontId="29" numFmtId="0" xfId="0" applyAlignment="1" applyFont="1">
      <alignment horizontal="left" readingOrder="0" vertical="center"/>
    </xf>
    <xf borderId="0" fillId="0" fontId="30" numFmtId="0" xfId="0" applyAlignment="1" applyFont="1">
      <alignment readingOrder="0" vertical="center"/>
    </xf>
    <xf borderId="0" fillId="0" fontId="31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0" fontId="22" numFmtId="0" xfId="0" applyAlignment="1" applyFont="1">
      <alignment horizontal="left" shrinkToFit="0" vertical="bottom" wrapText="1"/>
    </xf>
    <xf borderId="0" fillId="0" fontId="21" numFmtId="0" xfId="0" applyAlignment="1" applyFont="1">
      <alignment shrinkToFit="0" vertical="top" wrapText="1"/>
    </xf>
    <xf borderId="1" fillId="14" fontId="20" numFmtId="0" xfId="0" applyAlignment="1" applyBorder="1" applyFont="1">
      <alignment horizontal="left" shrinkToFit="0" vertical="top" wrapText="1"/>
    </xf>
    <xf borderId="0" fillId="13" fontId="31" numFmtId="0" xfId="0" applyAlignment="1" applyFont="1">
      <alignment horizontal="left" readingOrder="0" vertical="center"/>
    </xf>
    <xf borderId="0" fillId="0" fontId="23" numFmtId="0" xfId="0" applyAlignment="1" applyFont="1">
      <alignment readingOrder="0" vertical="center"/>
    </xf>
    <xf borderId="0" fillId="13" fontId="32" numFmtId="0" xfId="0" applyAlignment="1" applyFont="1">
      <alignment horizontal="left" readingOrder="0" vertical="center"/>
    </xf>
    <xf borderId="0" fillId="0" fontId="21" numFmtId="0" xfId="0" applyAlignment="1" applyFont="1">
      <alignment readingOrder="0" shrinkToFit="0" vertical="top" wrapText="1"/>
    </xf>
    <xf borderId="2" fillId="14" fontId="20" numFmtId="0" xfId="0" applyAlignment="1" applyBorder="1" applyFont="1">
      <alignment horizontal="left" shrinkToFit="0" vertical="top" wrapText="1"/>
    </xf>
    <xf borderId="3" fillId="0" fontId="33" numFmtId="0" xfId="0" applyAlignment="1" applyBorder="1" applyFont="1">
      <alignment readingOrder="0" vertical="center"/>
    </xf>
    <xf borderId="3" fillId="13" fontId="31" numFmtId="0" xfId="0" applyAlignment="1" applyBorder="1" applyFont="1">
      <alignment horizontal="left" readingOrder="0" vertical="center"/>
    </xf>
    <xf borderId="3" fillId="16" fontId="31" numFmtId="0" xfId="0" applyAlignment="1" applyBorder="1" applyFill="1" applyFont="1">
      <alignment readingOrder="0" shrinkToFit="0" vertical="top" wrapText="1"/>
    </xf>
    <xf borderId="0" fillId="0" fontId="21" numFmtId="0" xfId="0" applyAlignment="1" applyFont="1">
      <alignment readingOrder="0" shrinkToFit="0" vertical="top" wrapText="1"/>
    </xf>
    <xf borderId="3" fillId="0" fontId="31" numFmtId="0" xfId="0" applyAlignment="1" applyBorder="1" applyFont="1">
      <alignment readingOrder="0" shrinkToFit="0" vertical="top" wrapText="1"/>
    </xf>
    <xf borderId="0" fillId="0" fontId="34" numFmtId="0" xfId="0" applyAlignment="1" applyFont="1">
      <alignment readingOrder="0" shrinkToFit="0" vertical="top" wrapText="1"/>
    </xf>
    <xf borderId="0" fillId="0" fontId="2" numFmtId="0" xfId="0" applyAlignment="1" applyFont="1">
      <alignment vertical="center"/>
    </xf>
    <xf borderId="3" fillId="0" fontId="33" numFmtId="0" xfId="0" applyAlignment="1" applyBorder="1" applyFont="1">
      <alignment readingOrder="0" vertical="center"/>
    </xf>
    <xf borderId="3" fillId="0" fontId="21" numFmtId="0" xfId="0" applyAlignment="1" applyBorder="1" applyFont="1">
      <alignment readingOrder="0" shrinkToFit="0" vertical="top" wrapText="1"/>
    </xf>
    <xf borderId="0" fillId="0" fontId="35" numFmtId="0" xfId="0" applyAlignment="1" applyFont="1">
      <alignment readingOrder="0" shrinkToFit="0" vertical="top" wrapText="1"/>
    </xf>
    <xf borderId="0" fillId="16" fontId="31" numFmtId="0" xfId="0" applyAlignment="1" applyFont="1">
      <alignment readingOrder="0" shrinkToFit="0" vertical="top" wrapText="1"/>
    </xf>
    <xf borderId="0" fillId="13" fontId="36" numFmtId="0" xfId="0" applyAlignment="1" applyFont="1">
      <alignment horizontal="left" readingOrder="0" vertical="center"/>
    </xf>
    <xf borderId="0" fillId="0" fontId="32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0" fontId="33" numFmtId="0" xfId="0" applyAlignment="1" applyFont="1">
      <alignment readingOrder="0" vertical="center"/>
    </xf>
    <xf borderId="0" fillId="0" fontId="37" numFmtId="0" xfId="0" applyAlignment="1" applyFont="1">
      <alignment readingOrder="0" shrinkToFit="0" vertical="top" wrapText="1"/>
    </xf>
    <xf borderId="0" fillId="13" fontId="31" numFmtId="0" xfId="0" applyAlignment="1" applyFont="1">
      <alignment readingOrder="0" shrinkToFit="0" vertical="top" wrapText="1"/>
    </xf>
    <xf borderId="0" fillId="0" fontId="38" numFmtId="0" xfId="0" applyAlignment="1" applyFont="1">
      <alignment readingOrder="0" shrinkToFit="0" vertical="top" wrapText="1"/>
    </xf>
    <xf borderId="0" fillId="0" fontId="32" numFmtId="0" xfId="0" applyAlignment="1" applyFont="1">
      <alignment readingOrder="0" shrinkToFit="0" vertical="top" wrapText="1"/>
    </xf>
    <xf borderId="0" fillId="13" fontId="35" numFmtId="0" xfId="0" applyAlignment="1" applyFont="1">
      <alignment horizontal="left" readingOrder="0" vertical="center"/>
    </xf>
    <xf borderId="0" fillId="0" fontId="39" numFmtId="0" xfId="0" applyAlignment="1" applyFont="1">
      <alignment readingOrder="0" shrinkToFit="0" vertical="top" wrapText="1"/>
    </xf>
    <xf borderId="0" fillId="0" fontId="33" numFmtId="0" xfId="0" applyAlignment="1" applyFont="1">
      <alignment readingOrder="0" shrinkToFit="0" vertical="center" wrapText="0"/>
    </xf>
    <xf borderId="0" fillId="0" fontId="40" numFmtId="0" xfId="0" applyAlignment="1" applyFont="1">
      <alignment readingOrder="0" shrinkToFit="0" vertical="top" wrapText="1"/>
    </xf>
    <xf borderId="4" fillId="0" fontId="21" numFmtId="0" xfId="0" applyAlignment="1" applyBorder="1" applyFont="1">
      <alignment shrinkToFit="0" vertical="top" wrapText="1"/>
    </xf>
    <xf borderId="5" fillId="0" fontId="21" numFmtId="0" xfId="0" applyAlignment="1" applyBorder="1" applyFont="1">
      <alignment shrinkToFit="0" vertical="top" wrapText="1"/>
    </xf>
    <xf borderId="0" fillId="13" fontId="21" numFmtId="0" xfId="0" applyAlignment="1" applyFont="1">
      <alignment shrinkToFit="0" vertical="top" wrapText="1"/>
    </xf>
    <xf borderId="0" fillId="0" fontId="41" numFmtId="0" xfId="0" applyAlignment="1" applyFont="1">
      <alignment readingOrder="0" shrinkToFit="0" vertical="top" wrapText="1"/>
    </xf>
    <xf borderId="0" fillId="0" fontId="42" numFmtId="0" xfId="0" applyAlignment="1" applyFont="1">
      <alignment readingOrder="0" vertical="center"/>
    </xf>
    <xf borderId="0" fillId="0" fontId="32" numFmtId="0" xfId="0" applyAlignment="1" applyFont="1">
      <alignment readingOrder="0" vertical="center"/>
    </xf>
    <xf borderId="0" fillId="0" fontId="43" numFmtId="0" xfId="0" applyAlignment="1" applyFont="1">
      <alignment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1" fillId="0" fontId="21" numFmtId="0" xfId="0" applyAlignment="1" applyBorder="1" applyFont="1">
      <alignment readingOrder="0" shrinkToFit="0" vertical="top" wrapText="1"/>
    </xf>
    <xf borderId="1" fillId="0" fontId="21" numFmtId="0" xfId="0" applyAlignment="1" applyBorder="1" applyFont="1">
      <alignment shrinkToFit="0" vertical="top" wrapText="1"/>
    </xf>
    <xf borderId="0" fillId="13" fontId="23" numFmtId="0" xfId="0" applyAlignment="1" applyFont="1">
      <alignment readingOrder="0" shrinkToFit="0" vertical="top" wrapText="1"/>
    </xf>
    <xf borderId="0" fillId="13" fontId="21" numFmtId="0" xfId="0" applyAlignment="1" applyFont="1">
      <alignment readingOrder="0" shrinkToFit="0" vertical="top" wrapText="1"/>
    </xf>
    <xf borderId="0" fillId="0" fontId="23" numFmtId="0" xfId="0" applyAlignment="1" applyFont="1">
      <alignment horizontal="left" readingOrder="0" vertical="center"/>
    </xf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horizontal="left" readingOrder="0" shrinkToFit="0" vertical="bottom" wrapText="1"/>
    </xf>
    <xf borderId="0" fillId="0" fontId="44" numFmtId="0" xfId="0" applyAlignment="1" applyFont="1">
      <alignment readingOrder="0" shrinkToFit="0" vertical="top" wrapText="1"/>
    </xf>
    <xf borderId="0" fillId="0" fontId="45" numFmtId="0" xfId="0" applyAlignment="1" applyFont="1">
      <alignment shrinkToFit="0" vertical="top" wrapText="1"/>
    </xf>
    <xf borderId="0" fillId="13" fontId="32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21" numFmtId="0" xfId="0" applyAlignment="1" applyFont="1">
      <alignment vertical="top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vertical="center"/>
    </xf>
    <xf borderId="0" fillId="4" fontId="1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0" fillId="0" fontId="4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center" readingOrder="0" vertical="center"/>
    </xf>
    <xf borderId="0" fillId="0" fontId="48" numFmtId="0" xfId="0" applyAlignment="1" applyFont="1">
      <alignment horizontal="center" readingOrder="0" vertical="center"/>
    </xf>
    <xf borderId="0" fillId="0" fontId="49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50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0" numFmtId="0" xfId="0" applyAlignment="1" applyFont="1">
      <alignment vertical="center"/>
    </xf>
    <xf borderId="0" fillId="13" fontId="5" numFmtId="0" xfId="0" applyAlignment="1" applyFont="1">
      <alignment horizontal="center" readingOrder="0" vertical="center"/>
    </xf>
    <xf borderId="0" fillId="0" fontId="51" numFmtId="0" xfId="0" applyAlignment="1" applyFont="1">
      <alignment vertical="center"/>
    </xf>
    <xf borderId="0" fillId="0" fontId="47" numFmtId="0" xfId="0" applyAlignment="1" applyFont="1">
      <alignment horizontal="center" readingOrder="0" vertical="center"/>
    </xf>
    <xf borderId="0" fillId="0" fontId="50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53" numFmtId="0" xfId="0" applyAlignment="1" applyFont="1">
      <alignment vertical="center"/>
    </xf>
    <xf borderId="0" fillId="5" fontId="3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0" numFmtId="0" xfId="0" applyAlignment="1" applyFont="1">
      <alignment vertical="center"/>
    </xf>
    <xf borderId="0" fillId="0" fontId="50" numFmtId="0" xfId="0" applyAlignment="1" applyFont="1">
      <alignment horizontal="right" vertical="center"/>
    </xf>
    <xf borderId="0" fillId="0" fontId="50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right" vertical="center"/>
    </xf>
    <xf borderId="0" fillId="5" fontId="1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vertical="center"/>
    </xf>
    <xf borderId="0" fillId="2" fontId="50" numFmtId="0" xfId="0" applyAlignment="1" applyFont="1">
      <alignment vertical="center"/>
    </xf>
    <xf borderId="0" fillId="2" fontId="50" numFmtId="0" xfId="0" applyAlignment="1" applyFont="1">
      <alignment horizontal="right" vertical="center"/>
    </xf>
    <xf borderId="0" fillId="5" fontId="3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5" fontId="11" numFmtId="0" xfId="0" applyAlignment="1" applyFont="1">
      <alignment readingOrder="0" vertical="center"/>
    </xf>
    <xf borderId="0" fillId="0" fontId="50" numFmtId="0" xfId="0" applyAlignment="1" applyFont="1">
      <alignment horizontal="right" readingOrder="0" vertical="center"/>
    </xf>
    <xf borderId="0" fillId="5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17" fontId="50" numFmtId="0" xfId="0" applyAlignment="1" applyFill="1" applyFont="1">
      <alignment shrinkToFit="0" vertical="center" wrapText="1"/>
    </xf>
    <xf borderId="0" fillId="0" fontId="5" numFmtId="0" xfId="0" applyAlignment="1" applyFont="1">
      <alignment horizontal="right" readingOrder="0" vertical="center"/>
    </xf>
    <xf borderId="0" fillId="0" fontId="50" numFmtId="0" xfId="0" applyAlignment="1" applyFont="1">
      <alignment horizontal="right" shrinkToFit="0" vertical="center" wrapText="1"/>
    </xf>
    <xf borderId="0" fillId="0" fontId="14" numFmtId="0" xfId="0" applyAlignment="1" applyFont="1">
      <alignment vertical="center"/>
    </xf>
    <xf borderId="0" fillId="0" fontId="50" numFmtId="0" xfId="0" applyAlignment="1" applyFont="1">
      <alignment horizontal="right" readingOrder="0" shrinkToFit="0" vertical="center" wrapText="1"/>
    </xf>
    <xf borderId="0" fillId="2" fontId="50" numFmtId="0" xfId="0" applyAlignment="1" applyFont="1">
      <alignment shrinkToFit="0" vertical="center" wrapText="1"/>
    </xf>
    <xf borderId="0" fillId="2" fontId="5" numFmtId="0" xfId="0" applyAlignment="1" applyFont="1">
      <alignment horizontal="right" vertical="center"/>
    </xf>
    <xf borderId="0" fillId="2" fontId="14" numFmtId="0" xfId="0" applyAlignment="1" applyFont="1">
      <alignment vertical="center"/>
    </xf>
    <xf borderId="0" fillId="0" fontId="54" numFmtId="0" xfId="0" applyAlignment="1" applyFont="1">
      <alignment shrinkToFit="0" vertical="center" wrapText="1"/>
    </xf>
    <xf borderId="0" fillId="10" fontId="50" numFmtId="0" xfId="0" applyAlignment="1" applyFont="1">
      <alignment shrinkToFit="0" vertical="center" wrapText="1"/>
    </xf>
    <xf borderId="0" fillId="0" fontId="55" numFmtId="0" xfId="0" applyAlignment="1" applyFont="1">
      <alignment shrinkToFit="0" vertical="center" wrapText="1"/>
    </xf>
    <xf borderId="0" fillId="10" fontId="50" numFmtId="0" xfId="0" applyAlignment="1" applyFont="1">
      <alignment vertical="center"/>
    </xf>
    <xf borderId="0" fillId="2" fontId="32" numFmtId="0" xfId="0" applyAlignment="1" applyFont="1">
      <alignment shrinkToFit="0" vertical="center" wrapText="1"/>
    </xf>
    <xf borderId="0" fillId="18" fontId="50" numFmtId="0" xfId="0" applyAlignment="1" applyFill="1" applyFont="1">
      <alignment shrinkToFit="0" vertical="center" wrapText="1"/>
    </xf>
    <xf borderId="0" fillId="2" fontId="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18" fontId="50" numFmtId="0" xfId="0" applyAlignment="1" applyFont="1">
      <alignment vertical="center"/>
    </xf>
    <xf borderId="0" fillId="0" fontId="56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56" numFmtId="0" xfId="0" applyAlignment="1" applyFon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://supplier/FU/Space%204U" TargetMode="External"/><Relationship Id="rId4" Type="http://schemas.openxmlformats.org/officeDocument/2006/relationships/hyperlink" Target="http://supplier/CPT/Tandus%20%E5%9D%A6%E5%BE%B7%E6%96%AF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http://supplier/CPT/Tandus%20%E5%9D%A6%E5%BE%B7%E6%96%A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12</xdr:row>
      <xdr:rowOff>104775</xdr:rowOff>
    </xdr:from>
    <xdr:ext cx="476250" cy="476250"/>
    <xdr:sp>
      <xdr:nvSpPr>
        <xdr:cNvPr id="3" name="Shape 3">
          <a:hlinkClick r:id="rId1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CPT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114300</xdr:colOff>
      <xdr:row>14</xdr:row>
      <xdr:rowOff>95250</xdr:rowOff>
    </xdr:from>
    <xdr:ext cx="476250" cy="476250"/>
    <xdr:sp>
      <xdr:nvSpPr>
        <xdr:cNvPr id="4" name="Shape 4"/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PVC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114300</xdr:colOff>
      <xdr:row>13</xdr:row>
      <xdr:rowOff>95250</xdr:rowOff>
    </xdr:from>
    <xdr:ext cx="476250" cy="476250"/>
    <xdr:sp>
      <xdr:nvSpPr>
        <xdr:cNvPr id="5" name="Shape 5">
          <a:hlinkClick r:id="rId2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LVT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76200</xdr:colOff>
      <xdr:row>121</xdr:row>
      <xdr:rowOff>76200</xdr:rowOff>
    </xdr:from>
    <xdr:ext cx="476250" cy="476250"/>
    <xdr:sp>
      <xdr:nvSpPr>
        <xdr:cNvPr id="6" name="Shape 6">
          <a:hlinkClick r:id="rId3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FU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110</xdr:row>
      <xdr:rowOff>76200</xdr:rowOff>
    </xdr:from>
    <xdr:ext cx="476250" cy="476250"/>
    <xdr:sp>
      <xdr:nvSpPr>
        <xdr:cNvPr id="7" name="Shape 7">
          <a:hlinkClick r:id="rId4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CPT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76200</xdr:colOff>
      <xdr:row>18</xdr:row>
      <xdr:rowOff>85725</xdr:rowOff>
    </xdr:from>
    <xdr:ext cx="476250" cy="476250"/>
    <xdr:sp>
      <xdr:nvSpPr>
        <xdr:cNvPr id="8" name="Shape 8">
          <a:hlinkClick r:id="rId5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CPT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115</xdr:row>
      <xdr:rowOff>66675</xdr:rowOff>
    </xdr:from>
    <xdr:ext cx="476250" cy="476250"/>
    <xdr:sp>
      <xdr:nvSpPr>
        <xdr:cNvPr id="9" name="Shape 9">
          <a:hlinkClick r:id="rId6"/>
        </xdr:cNvPr>
        <xdr:cNvSpPr/>
      </xdr:nvSpPr>
      <xdr:spPr>
        <a:xfrm>
          <a:off x="5112638" y="3546638"/>
          <a:ext cx="466725" cy="466725"/>
        </a:xfrm>
        <a:prstGeom prst="foldedCorner">
          <a:avLst>
            <a:gd fmla="val 16667" name="adj"/>
          </a:avLst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LVT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tylus bt"/>
        <a:ea typeface="stylus bt"/>
        <a:cs typeface="stylus bt"/>
      </a:majorFont>
      <a:minorFont>
        <a:latin typeface="stylus bt"/>
        <a:ea typeface="stylus bt"/>
        <a:cs typeface="stylus b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://www.ds-plan.com/" TargetMode="External"/><Relationship Id="rId10" Type="http://schemas.openxmlformats.org/officeDocument/2006/relationships/hyperlink" Target="http://www.ds-plan.com/" TargetMode="External"/><Relationship Id="rId13" Type="http://schemas.openxmlformats.org/officeDocument/2006/relationships/hyperlink" Target="http://web.www.autex.co/" TargetMode="External"/><Relationship Id="rId12" Type="http://schemas.openxmlformats.org/officeDocument/2006/relationships/hyperlink" Target="http://www.ds-plan.com/" TargetMode="External"/><Relationship Id="rId1" Type="http://schemas.openxmlformats.org/officeDocument/2006/relationships/hyperlink" Target="http://www.amorimcorkcomposites.com/" TargetMode="External"/><Relationship Id="rId2" Type="http://schemas.openxmlformats.org/officeDocument/2006/relationships/hyperlink" Target="http://www.ds-plan.com/" TargetMode="External"/><Relationship Id="rId3" Type="http://schemas.openxmlformats.org/officeDocument/2006/relationships/hyperlink" Target="http://www.infinitysurfaces.cn/" TargetMode="External"/><Relationship Id="rId4" Type="http://schemas.openxmlformats.org/officeDocument/2006/relationships/hyperlink" Target="http://www.ds-plan.com/" TargetMode="External"/><Relationship Id="rId9" Type="http://schemas.openxmlformats.org/officeDocument/2006/relationships/hyperlink" Target="http://www.somfy.com/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://www.mrperswall.com/" TargetMode="External"/><Relationship Id="rId6" Type="http://schemas.openxmlformats.org/officeDocument/2006/relationships/hyperlink" Target="http://www.urbatek.com/" TargetMode="External"/><Relationship Id="rId7" Type="http://schemas.openxmlformats.org/officeDocument/2006/relationships/hyperlink" Target="http://www.raven.com.au/" TargetMode="External"/><Relationship Id="rId8" Type="http://schemas.openxmlformats.org/officeDocument/2006/relationships/hyperlink" Target="http://www.rodeca.d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36.0"/>
    <col customWidth="1" min="3" max="3" width="33.78"/>
  </cols>
  <sheetData>
    <row r="1">
      <c r="A1" s="1" t="s">
        <v>0</v>
      </c>
      <c r="C1" s="1"/>
    </row>
    <row r="2">
      <c r="A2" s="2" t="s">
        <v>1</v>
      </c>
      <c r="B2" s="1" t="s">
        <v>2</v>
      </c>
      <c r="C2" s="1" t="s">
        <v>3</v>
      </c>
    </row>
    <row r="3">
      <c r="A3" s="3">
        <v>1700.0</v>
      </c>
      <c r="B3" s="4" t="s">
        <v>4</v>
      </c>
      <c r="C3" s="5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1701.0</v>
      </c>
      <c r="B4" s="4" t="s">
        <v>6</v>
      </c>
      <c r="C4" s="7" t="s">
        <v>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>
        <v>1702.0</v>
      </c>
      <c r="B5" s="4" t="s">
        <v>8</v>
      </c>
      <c r="C5" s="4" t="s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">
        <v>1703.0</v>
      </c>
      <c r="B6" s="4" t="s">
        <v>10</v>
      </c>
      <c r="C6" s="4" t="s">
        <v>11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">
        <v>1704.0</v>
      </c>
      <c r="B7" s="4" t="s">
        <v>12</v>
      </c>
      <c r="C7" s="4" t="s">
        <v>13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">
        <v>1705.0</v>
      </c>
      <c r="B8" s="4" t="s">
        <v>14</v>
      </c>
      <c r="C8" s="4" t="s">
        <v>15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">
        <v>1706.0</v>
      </c>
      <c r="B9" s="4" t="s">
        <v>16</v>
      </c>
      <c r="C9" s="4" t="s">
        <v>17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">
        <v>1707.0</v>
      </c>
      <c r="B10" s="4" t="s">
        <v>18</v>
      </c>
      <c r="C10" s="4" t="s">
        <v>19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">
        <v>1708.0</v>
      </c>
      <c r="B11" s="4" t="s">
        <v>20</v>
      </c>
      <c r="C11" s="4" t="s">
        <v>21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">
        <v>1801.0</v>
      </c>
      <c r="B12" s="4" t="s">
        <v>22</v>
      </c>
      <c r="C12" s="10" t="s">
        <v>23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">
        <v>1802.0</v>
      </c>
      <c r="B13" s="4" t="s">
        <v>24</v>
      </c>
      <c r="C13" s="11" t="s">
        <v>25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">
        <v>1803.0</v>
      </c>
      <c r="B14" s="4" t="s">
        <v>26</v>
      </c>
      <c r="C14" s="7" t="s">
        <v>27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>
        <v>1805.0</v>
      </c>
      <c r="B15" s="4" t="s">
        <v>28</v>
      </c>
      <c r="C15" s="7" t="s">
        <v>29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">
        <v>1901.0</v>
      </c>
      <c r="B16" s="4" t="s">
        <v>30</v>
      </c>
      <c r="C16" s="12" t="s">
        <v>31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>
        <v>1902.0</v>
      </c>
      <c r="B17" s="4" t="s">
        <v>32</v>
      </c>
      <c r="C17" s="12" t="s">
        <v>33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>
        <v>1903.0</v>
      </c>
      <c r="B18" s="4" t="s">
        <v>34</v>
      </c>
      <c r="C18" s="12" t="s">
        <v>35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>
        <v>1904.0</v>
      </c>
      <c r="B19" s="4" t="s">
        <v>36</v>
      </c>
      <c r="C19" s="12" t="s">
        <v>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>
        <v>1905.0</v>
      </c>
      <c r="B20" s="4" t="s">
        <v>38</v>
      </c>
      <c r="C20" s="7" t="s">
        <v>39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>
        <v>1906.0</v>
      </c>
      <c r="B21" s="4" t="s">
        <v>40</v>
      </c>
      <c r="C21" s="4" t="s">
        <v>41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">
        <v>1907.0</v>
      </c>
      <c r="B22" s="4" t="s">
        <v>42</v>
      </c>
      <c r="C22" s="11" t="s">
        <v>43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">
        <v>1908.0</v>
      </c>
      <c r="B23" s="4" t="s">
        <v>44</v>
      </c>
      <c r="C23" s="13" t="s">
        <v>45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">
        <v>1909.0</v>
      </c>
      <c r="B24" s="4" t="s">
        <v>46</v>
      </c>
      <c r="C24" s="11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>
        <v>1910.0</v>
      </c>
      <c r="B25" s="4" t="s">
        <v>48</v>
      </c>
      <c r="C25" s="4" t="s">
        <v>49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">
        <v>1911.0</v>
      </c>
      <c r="B26" s="4" t="s">
        <v>50</v>
      </c>
      <c r="C26" s="4" t="s">
        <v>51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>
        <v>1912.0</v>
      </c>
      <c r="B27" s="4" t="s">
        <v>52</v>
      </c>
      <c r="C27" s="14" t="s">
        <v>52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5">
        <v>1913.0</v>
      </c>
      <c r="B28" s="16" t="s">
        <v>53</v>
      </c>
      <c r="C28" s="17" t="s">
        <v>54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3">
        <v>2001.0</v>
      </c>
      <c r="B29" s="4" t="s">
        <v>55</v>
      </c>
      <c r="C29" s="4" t="s">
        <v>56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>
        <v>2002.0</v>
      </c>
      <c r="B30" s="4" t="s">
        <v>57</v>
      </c>
      <c r="C30" s="19" t="s">
        <v>58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>
        <v>2003.0</v>
      </c>
      <c r="B31" s="4" t="s">
        <v>59</v>
      </c>
      <c r="C31" s="5" t="s">
        <v>60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5">
        <v>2004.0</v>
      </c>
      <c r="B32" s="16" t="s">
        <v>61</v>
      </c>
      <c r="C32" s="20" t="s">
        <v>62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9">
        <v>2005.0</v>
      </c>
      <c r="B33" s="4" t="s">
        <v>63</v>
      </c>
      <c r="C33" s="11" t="s">
        <v>64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>
        <v>2007.0</v>
      </c>
      <c r="B34" s="4" t="s">
        <v>65</v>
      </c>
      <c r="C34" s="4" t="s">
        <v>66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>
        <v>2008.0</v>
      </c>
      <c r="B35" s="4" t="s">
        <v>67</v>
      </c>
      <c r="C35" s="5" t="s">
        <v>68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>
        <v>2009.0</v>
      </c>
      <c r="B36" s="4" t="s">
        <v>69</v>
      </c>
      <c r="C36" s="4" t="s">
        <v>70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>
        <v>2010.0</v>
      </c>
      <c r="B37" s="4" t="s">
        <v>71</v>
      </c>
      <c r="C37" s="4" t="s">
        <v>72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>
        <v>2011.0</v>
      </c>
      <c r="B38" s="4" t="s">
        <v>73</v>
      </c>
      <c r="C38" s="4" t="s">
        <v>74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>
        <v>2012.0</v>
      </c>
      <c r="B39" s="21" t="s">
        <v>75</v>
      </c>
      <c r="C39" s="4" t="s">
        <v>76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>
        <v>2013.0</v>
      </c>
      <c r="B40" s="22" t="s">
        <v>77</v>
      </c>
      <c r="C40" s="4" t="s">
        <v>78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>
        <v>2014.0</v>
      </c>
      <c r="B41" s="23" t="s">
        <v>79</v>
      </c>
      <c r="C41" s="24" t="s">
        <v>80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>
        <v>2018.0</v>
      </c>
      <c r="B42" s="25" t="s">
        <v>81</v>
      </c>
      <c r="C42" s="3" t="s">
        <v>82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>
        <v>2019.0</v>
      </c>
      <c r="B43" s="23" t="s">
        <v>83</v>
      </c>
      <c r="C43" s="3" t="s">
        <v>83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>
        <v>2101.0</v>
      </c>
      <c r="B44" s="4" t="s">
        <v>84</v>
      </c>
      <c r="C44" s="4" t="s">
        <v>85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>
        <v>2102.0</v>
      </c>
      <c r="B45" s="4" t="s">
        <v>86</v>
      </c>
      <c r="C45" s="3" t="s">
        <v>87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">
        <v>2103.0</v>
      </c>
      <c r="B46" s="4" t="s">
        <v>88</v>
      </c>
      <c r="C46" s="4" t="s">
        <v>89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>
        <v>2104.0</v>
      </c>
      <c r="B47" s="4" t="s">
        <v>90</v>
      </c>
      <c r="C47" s="26" t="s">
        <v>91</v>
      </c>
    </row>
    <row r="48">
      <c r="A48" s="3">
        <v>2.0200303E7</v>
      </c>
      <c r="B48" s="4" t="s">
        <v>92</v>
      </c>
      <c r="C48" s="4" t="s">
        <v>93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>
        <v>2.0200511E7</v>
      </c>
      <c r="B49" s="4" t="s">
        <v>94</v>
      </c>
      <c r="C49" s="3" t="s">
        <v>95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>
        <v>2.0200712E7</v>
      </c>
      <c r="B50" s="23" t="s">
        <v>96</v>
      </c>
      <c r="C50" s="3" t="s">
        <v>97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7">
        <v>2.0200918E7</v>
      </c>
      <c r="B51" s="27" t="s">
        <v>98</v>
      </c>
      <c r="C51" s="27" t="s">
        <v>99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>
        <v>2.0201023E7</v>
      </c>
      <c r="B52" s="6"/>
      <c r="C52" s="3" t="s">
        <v>100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7">
        <v>2.0200712E7</v>
      </c>
      <c r="B53" s="27" t="s">
        <v>101</v>
      </c>
      <c r="C53" s="27" t="s">
        <v>102</v>
      </c>
    </row>
    <row r="54">
      <c r="A54" s="27">
        <v>2.0210419E7</v>
      </c>
      <c r="B54" s="27" t="s">
        <v>103</v>
      </c>
      <c r="C54" s="27" t="s">
        <v>104</v>
      </c>
    </row>
    <row r="55">
      <c r="A55" s="27">
        <v>2.0210419E7</v>
      </c>
      <c r="B55" s="27" t="s">
        <v>105</v>
      </c>
      <c r="C55" s="27" t="s">
        <v>106</v>
      </c>
    </row>
    <row r="56">
      <c r="A56" s="27">
        <v>2.0210628E7</v>
      </c>
      <c r="B56" s="27" t="s">
        <v>107</v>
      </c>
      <c r="C56" s="27" t="s">
        <v>108</v>
      </c>
    </row>
    <row r="57">
      <c r="A57" s="27">
        <v>2.0210625E7</v>
      </c>
      <c r="B57" s="27" t="s">
        <v>109</v>
      </c>
      <c r="C57" s="27" t="s">
        <v>110</v>
      </c>
    </row>
    <row r="58">
      <c r="A58" s="27">
        <v>2.0210706E7</v>
      </c>
      <c r="C58" s="27" t="s">
        <v>111</v>
      </c>
    </row>
    <row r="59">
      <c r="A59" s="27">
        <v>2.0210707E7</v>
      </c>
      <c r="C59" s="27" t="s">
        <v>112</v>
      </c>
    </row>
    <row r="60">
      <c r="A60" s="27">
        <v>2.0210806E7</v>
      </c>
      <c r="C60" s="27" t="s">
        <v>113</v>
      </c>
    </row>
    <row r="61">
      <c r="A61" s="27">
        <v>2.0210906E7</v>
      </c>
      <c r="B61" s="27" t="s">
        <v>114</v>
      </c>
      <c r="C61" s="27" t="s">
        <v>115</v>
      </c>
    </row>
    <row r="62">
      <c r="A62" s="27">
        <v>2.0210906E7</v>
      </c>
      <c r="B62" s="27" t="s">
        <v>114</v>
      </c>
      <c r="C62" s="27" t="s">
        <v>116</v>
      </c>
    </row>
    <row r="63">
      <c r="A63" s="27">
        <v>2.0210909E7</v>
      </c>
      <c r="B63" s="27" t="s">
        <v>117</v>
      </c>
      <c r="C63" s="27" t="s">
        <v>118</v>
      </c>
    </row>
    <row r="64">
      <c r="A64" s="27">
        <v>2018.0</v>
      </c>
      <c r="B64" s="27" t="s">
        <v>119</v>
      </c>
      <c r="C64" s="27" t="s">
        <v>120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13.89"/>
    <col customWidth="1" min="2" max="2" width="25.33"/>
    <col customWidth="1" min="3" max="3" width="16.89"/>
    <col customWidth="1" min="4" max="4" width="15.89"/>
    <col customWidth="1" min="5" max="5" width="16.56"/>
    <col customWidth="1" min="6" max="6" width="15.0"/>
    <col customWidth="1" min="7" max="7" width="16.78"/>
    <col customWidth="1" min="8" max="8" width="14.56"/>
    <col customWidth="1" min="9" max="9" width="12.56"/>
    <col customWidth="1" min="10" max="10" width="18.33"/>
    <col customWidth="1" hidden="1" min="11" max="11" width="16.0"/>
    <col customWidth="1" hidden="1" min="12" max="12" width="11.89"/>
    <col customWidth="1" hidden="1" min="13" max="13" width="13.11"/>
    <col customWidth="1" hidden="1" min="14" max="14" width="9.22"/>
    <col customWidth="1" min="15" max="15" width="10.33"/>
    <col customWidth="1" min="17" max="17" width="7.78"/>
    <col customWidth="1" min="18" max="18" width="17.22"/>
    <col customWidth="1" min="19" max="19" width="11.22"/>
    <col customWidth="1" hidden="1" min="20" max="21" width="11.89"/>
    <col customWidth="1" hidden="1" min="22" max="23" width="12.33"/>
    <col customWidth="1" hidden="1" min="24" max="24" width="19.33"/>
    <col customWidth="1" hidden="1" min="25" max="25" width="18.78"/>
    <col customWidth="1" hidden="1" min="26" max="26" width="18.33"/>
    <col customWidth="1" hidden="1" min="27" max="27" width="14.11"/>
    <col customWidth="1" hidden="1" min="28" max="28" width="15.56"/>
    <col customWidth="1" hidden="1" min="29" max="29" width="14.67"/>
    <col customWidth="1" hidden="1" min="30" max="30" width="20.78"/>
    <col customWidth="1" hidden="1" min="31" max="31" width="20.22"/>
    <col customWidth="1" hidden="1" min="32" max="32" width="18.78"/>
    <col customWidth="1" hidden="1" min="33" max="33" width="20.78"/>
    <col customWidth="1" hidden="1" min="34" max="34" width="19.89"/>
    <col customWidth="1" hidden="1" min="35" max="35" width="18.11"/>
    <col customWidth="1" hidden="1" min="36" max="36" width="21.67"/>
    <col customWidth="1" hidden="1" min="37" max="37" width="17.78"/>
    <col customWidth="1" hidden="1" min="38" max="38" width="19.11"/>
    <col customWidth="1" hidden="1" min="39" max="39" width="23.44"/>
    <col customWidth="1" hidden="1" min="40" max="41" width="19.11"/>
    <col customWidth="1" hidden="1" min="42" max="42" width="19.89"/>
    <col customWidth="1" hidden="1" min="43" max="43" width="22.0"/>
    <col customWidth="1" hidden="1" min="44" max="44" width="20.89"/>
    <col customWidth="1" hidden="1" min="45" max="45" width="15.56"/>
    <col customWidth="1" hidden="1" min="46" max="46" width="21.89"/>
    <col customWidth="1" hidden="1" min="47" max="47" width="14.11"/>
    <col customWidth="1" hidden="1" min="48" max="48" width="26.22"/>
    <col customWidth="1" hidden="1" min="49" max="49" width="17.33"/>
    <col customWidth="1" hidden="1" min="50" max="50" width="27.44"/>
    <col customWidth="1" hidden="1" min="51" max="51" width="21.67"/>
    <col customWidth="1" hidden="1" min="52" max="52" width="17.22"/>
    <col customWidth="1" hidden="1" min="53" max="53" width="20.33"/>
    <col customWidth="1" hidden="1" min="54" max="54" width="25.22"/>
    <col customWidth="1" hidden="1" min="55" max="55" width="22.78"/>
    <col customWidth="1" hidden="1" min="56" max="56" width="25.44"/>
    <col customWidth="1" hidden="1" min="57" max="57" width="22.22"/>
    <col customWidth="1" hidden="1" min="58" max="58" width="22.44"/>
    <col customWidth="1" hidden="1" min="59" max="59" width="24.56"/>
    <col customWidth="1" hidden="1" min="60" max="60" width="13.44"/>
    <col customWidth="1" hidden="1" min="61" max="61" width="20.33"/>
    <col customWidth="1" hidden="1" min="62" max="62" width="23.0"/>
    <col customWidth="1" hidden="1" min="63" max="63" width="25.89"/>
    <col customWidth="1" hidden="1" min="64" max="64" width="16.67"/>
    <col customWidth="1" hidden="1" min="65" max="66" width="23.0"/>
    <col customWidth="1" hidden="1" min="67" max="67" width="23.11"/>
    <col customWidth="1" hidden="1" min="68" max="68" width="10.0"/>
    <col customWidth="1" hidden="1" min="69" max="69" width="29.89"/>
  </cols>
  <sheetData>
    <row r="1" ht="15.0" hidden="1" customHeight="1">
      <c r="A1" s="27"/>
      <c r="B1" s="28"/>
      <c r="C1" s="28"/>
      <c r="D1" s="28"/>
      <c r="E1" s="28"/>
      <c r="F1" s="27" t="s">
        <v>121</v>
      </c>
      <c r="G1" s="3" t="s">
        <v>122</v>
      </c>
      <c r="H1" s="27" t="s">
        <v>123</v>
      </c>
      <c r="I1" s="27" t="s">
        <v>124</v>
      </c>
      <c r="J1" s="27" t="s">
        <v>125</v>
      </c>
      <c r="AF1" s="29"/>
      <c r="AH1" s="29"/>
      <c r="AI1" s="29"/>
      <c r="AS1" s="29"/>
      <c r="AU1" s="29"/>
      <c r="AV1" s="29"/>
      <c r="AX1" s="29"/>
      <c r="BC1" s="29"/>
      <c r="BD1" s="29"/>
    </row>
    <row r="2" ht="15.0" hidden="1" customHeight="1">
      <c r="A2" s="27"/>
      <c r="B2" s="28"/>
      <c r="C2" s="28"/>
      <c r="D2" s="28"/>
      <c r="E2" s="28"/>
      <c r="F2" s="27" t="s">
        <v>126</v>
      </c>
      <c r="G2" s="30" t="s">
        <v>127</v>
      </c>
      <c r="H2" s="27" t="s">
        <v>128</v>
      </c>
      <c r="I2" s="27" t="s">
        <v>129</v>
      </c>
      <c r="J2" s="27" t="s">
        <v>130</v>
      </c>
      <c r="AF2" s="29"/>
      <c r="AH2" s="29"/>
      <c r="AI2" s="29"/>
      <c r="AS2" s="29"/>
      <c r="AU2" s="29"/>
      <c r="AV2" s="29"/>
      <c r="AX2" s="29"/>
      <c r="BC2" s="29"/>
      <c r="BD2" s="29"/>
    </row>
    <row r="3" ht="15.0" hidden="1" customHeight="1">
      <c r="A3" s="27"/>
      <c r="B3" s="28"/>
      <c r="C3" s="28"/>
      <c r="D3" s="28"/>
      <c r="E3" s="28"/>
      <c r="F3" s="27" t="s">
        <v>131</v>
      </c>
      <c r="G3" s="31" t="s">
        <v>132</v>
      </c>
      <c r="H3" s="27"/>
      <c r="I3" s="27" t="s">
        <v>133</v>
      </c>
      <c r="J3" s="27" t="s">
        <v>134</v>
      </c>
      <c r="AF3" s="29"/>
      <c r="AH3" s="29"/>
      <c r="AI3" s="29"/>
      <c r="AS3" s="29"/>
      <c r="AU3" s="29"/>
      <c r="AV3" s="29"/>
      <c r="AX3" s="29"/>
      <c r="BC3" s="29"/>
      <c r="BD3" s="29"/>
    </row>
    <row r="4" ht="15.0" hidden="1" customHeight="1">
      <c r="A4" s="27"/>
      <c r="B4" s="28"/>
      <c r="C4" s="28"/>
      <c r="D4" s="28"/>
      <c r="E4" s="28"/>
      <c r="F4" s="27" t="s">
        <v>135</v>
      </c>
      <c r="G4" s="27"/>
      <c r="H4" s="27"/>
      <c r="I4" s="27"/>
      <c r="J4" s="27"/>
      <c r="AF4" s="29"/>
      <c r="AH4" s="29"/>
      <c r="AI4" s="29"/>
      <c r="AS4" s="29"/>
      <c r="AU4" s="29"/>
      <c r="AV4" s="29"/>
      <c r="AX4" s="29"/>
      <c r="BC4" s="29"/>
      <c r="BD4" s="29"/>
    </row>
    <row r="5" ht="15.0" hidden="1" customHeight="1">
      <c r="A5" s="27"/>
      <c r="B5" s="28"/>
      <c r="C5" s="28"/>
      <c r="D5" s="28"/>
      <c r="E5" s="28"/>
      <c r="F5" s="27" t="s">
        <v>136</v>
      </c>
      <c r="G5" s="27"/>
      <c r="H5" s="27"/>
      <c r="I5" s="27"/>
      <c r="J5" s="27" t="s">
        <v>137</v>
      </c>
      <c r="AF5" s="29"/>
      <c r="AH5" s="29"/>
      <c r="AI5" s="29"/>
      <c r="AS5" s="29"/>
      <c r="AU5" s="29"/>
      <c r="AV5" s="29"/>
      <c r="AX5" s="29"/>
      <c r="BC5" s="29"/>
      <c r="BD5" s="29"/>
    </row>
    <row r="6" ht="15.0" hidden="1" customHeight="1">
      <c r="A6" s="27"/>
      <c r="B6" s="28"/>
      <c r="C6" s="28"/>
      <c r="D6" s="28"/>
      <c r="E6" s="28"/>
      <c r="F6" s="27" t="s">
        <v>138</v>
      </c>
      <c r="G6" s="27"/>
      <c r="H6" s="27"/>
      <c r="I6" s="27"/>
      <c r="J6" s="27" t="s">
        <v>139</v>
      </c>
      <c r="AF6" s="29"/>
      <c r="AH6" s="29"/>
      <c r="AI6" s="29"/>
      <c r="AS6" s="29"/>
      <c r="AU6" s="29"/>
      <c r="AV6" s="29"/>
      <c r="AX6" s="29"/>
      <c r="BC6" s="29"/>
      <c r="BD6" s="29"/>
    </row>
    <row r="7">
      <c r="A7" s="27" t="s">
        <v>140</v>
      </c>
      <c r="B7" s="28"/>
      <c r="C7" s="28"/>
      <c r="D7" s="28" t="s">
        <v>141</v>
      </c>
      <c r="E7" s="28"/>
      <c r="F7" s="27"/>
      <c r="G7" s="27"/>
      <c r="H7" s="27"/>
      <c r="I7" s="27"/>
      <c r="J7" s="27"/>
      <c r="K7" s="27" t="s">
        <v>142</v>
      </c>
      <c r="AF7" s="29"/>
      <c r="AH7" s="29"/>
      <c r="AI7" s="29"/>
      <c r="AS7" s="29"/>
      <c r="AU7" s="29"/>
      <c r="AV7" s="29"/>
      <c r="AX7" s="29"/>
      <c r="BC7" s="29"/>
      <c r="BD7" s="29"/>
    </row>
    <row r="8" ht="30.0" customHeight="1">
      <c r="A8" s="1" t="s">
        <v>0</v>
      </c>
      <c r="C8" s="1"/>
      <c r="D8" s="32" t="s">
        <v>143</v>
      </c>
      <c r="J8" s="33"/>
      <c r="K8" s="34" t="s">
        <v>144</v>
      </c>
      <c r="O8" s="35" t="s">
        <v>145</v>
      </c>
      <c r="S8" s="35"/>
      <c r="T8" s="35"/>
      <c r="U8" s="35"/>
      <c r="V8" s="35"/>
      <c r="W8" s="35"/>
      <c r="X8" s="35"/>
      <c r="Y8" s="35"/>
      <c r="Z8" s="2" t="s">
        <v>146</v>
      </c>
      <c r="AA8" s="2"/>
      <c r="AB8" s="2"/>
      <c r="AC8" s="2"/>
      <c r="AD8" s="2"/>
      <c r="AE8" s="2"/>
      <c r="AF8" s="36"/>
      <c r="AG8" s="37"/>
      <c r="AH8" s="29"/>
      <c r="AI8" s="29"/>
      <c r="AJ8" s="37"/>
      <c r="AK8" s="37"/>
      <c r="AL8" s="37"/>
      <c r="AM8" s="37"/>
      <c r="AN8" s="37"/>
      <c r="AO8" s="37"/>
      <c r="AP8" s="37"/>
      <c r="AQ8" s="37"/>
      <c r="AR8" s="37"/>
      <c r="AS8" s="29"/>
      <c r="AT8" s="37"/>
      <c r="AU8" s="29"/>
      <c r="AV8" s="29"/>
      <c r="AW8" s="37"/>
      <c r="AX8" s="29"/>
      <c r="AY8" s="37"/>
      <c r="AZ8" s="37"/>
      <c r="BA8" s="37"/>
      <c r="BB8" s="37"/>
      <c r="BC8" s="29"/>
      <c r="BD8" s="29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</row>
    <row r="9" ht="60.0" customHeight="1">
      <c r="A9" s="2" t="s">
        <v>1</v>
      </c>
      <c r="B9" s="1" t="s">
        <v>2</v>
      </c>
      <c r="C9" s="1" t="s">
        <v>3</v>
      </c>
      <c r="D9" s="32" t="s">
        <v>147</v>
      </c>
      <c r="E9" s="32" t="s">
        <v>148</v>
      </c>
      <c r="F9" s="33" t="s">
        <v>149</v>
      </c>
      <c r="G9" s="33" t="s">
        <v>150</v>
      </c>
      <c r="H9" s="33" t="s">
        <v>151</v>
      </c>
      <c r="I9" s="33" t="s">
        <v>152</v>
      </c>
      <c r="J9" s="33" t="s">
        <v>153</v>
      </c>
      <c r="K9" s="34" t="s">
        <v>154</v>
      </c>
      <c r="L9" s="34" t="s">
        <v>155</v>
      </c>
      <c r="M9" s="38" t="s">
        <v>156</v>
      </c>
      <c r="N9" s="34" t="s">
        <v>157</v>
      </c>
      <c r="O9" s="35" t="s">
        <v>158</v>
      </c>
      <c r="P9" s="35" t="s">
        <v>159</v>
      </c>
      <c r="Q9" s="35" t="s">
        <v>160</v>
      </c>
      <c r="R9" s="35" t="s">
        <v>161</v>
      </c>
      <c r="S9" s="39" t="s">
        <v>162</v>
      </c>
      <c r="T9" s="40" t="s">
        <v>163</v>
      </c>
      <c r="U9" s="40" t="s">
        <v>164</v>
      </c>
      <c r="V9" s="40" t="s">
        <v>165</v>
      </c>
      <c r="W9" s="40" t="s">
        <v>164</v>
      </c>
      <c r="X9" s="40" t="s">
        <v>166</v>
      </c>
      <c r="Y9" s="40" t="s">
        <v>167</v>
      </c>
      <c r="Z9" s="2" t="s">
        <v>168</v>
      </c>
      <c r="AA9" s="2" t="s">
        <v>169</v>
      </c>
      <c r="AB9" s="41" t="s">
        <v>170</v>
      </c>
      <c r="AC9" s="2" t="s">
        <v>171</v>
      </c>
      <c r="AD9" s="2" t="s">
        <v>172</v>
      </c>
      <c r="AE9" s="1" t="s">
        <v>173</v>
      </c>
      <c r="AF9" s="42" t="s">
        <v>174</v>
      </c>
      <c r="AG9" s="1" t="s">
        <v>175</v>
      </c>
      <c r="AH9" s="42" t="s">
        <v>176</v>
      </c>
      <c r="AI9" s="36" t="s">
        <v>177</v>
      </c>
      <c r="AJ9" s="2" t="s">
        <v>178</v>
      </c>
      <c r="AK9" s="2" t="s">
        <v>179</v>
      </c>
      <c r="AL9" s="2" t="s">
        <v>180</v>
      </c>
      <c r="AM9" s="2" t="s">
        <v>181</v>
      </c>
      <c r="AN9" s="2" t="s">
        <v>182</v>
      </c>
      <c r="AO9" s="2" t="s">
        <v>183</v>
      </c>
      <c r="AP9" s="2" t="s">
        <v>184</v>
      </c>
      <c r="AQ9" s="2" t="s">
        <v>185</v>
      </c>
      <c r="AR9" s="2" t="s">
        <v>186</v>
      </c>
      <c r="AS9" s="36" t="s">
        <v>187</v>
      </c>
      <c r="AT9" s="2" t="s">
        <v>188</v>
      </c>
      <c r="AU9" s="36" t="s">
        <v>189</v>
      </c>
      <c r="AV9" s="36" t="s">
        <v>190</v>
      </c>
      <c r="AW9" s="2" t="s">
        <v>191</v>
      </c>
      <c r="AX9" s="36" t="s">
        <v>192</v>
      </c>
      <c r="AY9" s="2" t="s">
        <v>193</v>
      </c>
      <c r="AZ9" s="2" t="s">
        <v>194</v>
      </c>
      <c r="BA9" s="2" t="s">
        <v>195</v>
      </c>
      <c r="BB9" s="2" t="s">
        <v>196</v>
      </c>
      <c r="BC9" s="36" t="s">
        <v>197</v>
      </c>
      <c r="BD9" s="36" t="s">
        <v>198</v>
      </c>
      <c r="BE9" s="2" t="s">
        <v>199</v>
      </c>
      <c r="BF9" s="2" t="s">
        <v>200</v>
      </c>
      <c r="BG9" s="2" t="s">
        <v>201</v>
      </c>
      <c r="BH9" s="2" t="s">
        <v>202</v>
      </c>
      <c r="BI9" s="2" t="s">
        <v>203</v>
      </c>
      <c r="BJ9" s="2" t="s">
        <v>204</v>
      </c>
      <c r="BK9" s="2" t="s">
        <v>205</v>
      </c>
      <c r="BL9" s="2" t="s">
        <v>206</v>
      </c>
      <c r="BM9" s="2" t="s">
        <v>207</v>
      </c>
      <c r="BN9" s="2" t="s">
        <v>208</v>
      </c>
      <c r="BO9" s="2" t="s">
        <v>209</v>
      </c>
      <c r="BP9" s="2" t="s">
        <v>210</v>
      </c>
      <c r="BQ9" s="2"/>
    </row>
    <row r="10" ht="44.25" customHeight="1">
      <c r="A10" s="43">
        <v>1701.0</v>
      </c>
      <c r="B10" s="44" t="s">
        <v>6</v>
      </c>
      <c r="C10" s="45" t="s">
        <v>7</v>
      </c>
      <c r="D10" s="44" t="s">
        <v>211</v>
      </c>
      <c r="E10" s="44" t="s">
        <v>212</v>
      </c>
      <c r="F10" s="46" t="s">
        <v>121</v>
      </c>
      <c r="G10" s="43" t="s">
        <v>122</v>
      </c>
      <c r="H10" s="43" t="s">
        <v>123</v>
      </c>
      <c r="I10" s="43" t="s">
        <v>213</v>
      </c>
      <c r="J10" s="43" t="s">
        <v>214</v>
      </c>
      <c r="K10" s="47"/>
      <c r="L10" s="47"/>
      <c r="M10" s="47"/>
      <c r="N10" s="47"/>
      <c r="O10" s="48" t="s">
        <v>215</v>
      </c>
      <c r="P10" s="48">
        <v>1081.8</v>
      </c>
      <c r="Q10" s="48" t="s">
        <v>215</v>
      </c>
      <c r="R10" s="48">
        <v>740.1</v>
      </c>
      <c r="S10" s="48" t="s">
        <v>216</v>
      </c>
      <c r="T10" s="48"/>
      <c r="U10" s="48"/>
      <c r="V10" s="48"/>
      <c r="W10" s="48"/>
      <c r="X10" s="47"/>
      <c r="Y10" s="47"/>
      <c r="Z10" s="47"/>
      <c r="AA10" s="47"/>
      <c r="AB10" s="47"/>
      <c r="AC10" s="47"/>
      <c r="AD10" s="47"/>
      <c r="AE10" s="47"/>
      <c r="AF10" s="49" t="s">
        <v>217</v>
      </c>
      <c r="AG10" s="47"/>
      <c r="AH10" s="47"/>
      <c r="AI10" s="47"/>
      <c r="AJ10" s="47"/>
      <c r="AK10" s="47"/>
      <c r="AL10" s="47"/>
      <c r="AM10" s="47"/>
      <c r="AN10" s="43">
        <v>95.78</v>
      </c>
      <c r="AO10" s="43">
        <v>80.79</v>
      </c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3" t="s">
        <v>218</v>
      </c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</row>
    <row r="11" ht="45.0" customHeight="1">
      <c r="A11" s="50">
        <v>1702.0</v>
      </c>
      <c r="B11" s="44" t="s">
        <v>8</v>
      </c>
      <c r="C11" s="44" t="s">
        <v>9</v>
      </c>
      <c r="D11" s="44" t="s">
        <v>211</v>
      </c>
      <c r="E11" s="51" t="s">
        <v>212</v>
      </c>
      <c r="F11" s="46" t="s">
        <v>126</v>
      </c>
      <c r="G11" s="43" t="s">
        <v>122</v>
      </c>
      <c r="H11" s="43" t="s">
        <v>123</v>
      </c>
      <c r="I11" s="43" t="s">
        <v>213</v>
      </c>
      <c r="J11" s="43" t="s">
        <v>219</v>
      </c>
      <c r="K11" s="47"/>
      <c r="L11" s="47"/>
      <c r="M11" s="47"/>
      <c r="N11" s="47"/>
      <c r="O11" s="48" t="s">
        <v>215</v>
      </c>
      <c r="P11" s="48">
        <v>440.0</v>
      </c>
      <c r="Q11" s="48" t="s">
        <v>215</v>
      </c>
      <c r="R11" s="48" t="s">
        <v>215</v>
      </c>
      <c r="S11" s="48" t="s">
        <v>220</v>
      </c>
      <c r="T11" s="48"/>
      <c r="U11" s="48"/>
      <c r="V11" s="48"/>
      <c r="W11" s="48"/>
      <c r="X11" s="46"/>
      <c r="Y11" s="47"/>
      <c r="Z11" s="47"/>
      <c r="AA11" s="47"/>
      <c r="AB11" s="47"/>
      <c r="AC11" s="47"/>
      <c r="AD11" s="47"/>
      <c r="AE11" s="49">
        <v>225.31</v>
      </c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3">
        <v>35.49</v>
      </c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</row>
    <row r="12" ht="45.0" customHeight="1">
      <c r="A12" s="43">
        <v>1906.0</v>
      </c>
      <c r="B12" s="44" t="s">
        <v>40</v>
      </c>
      <c r="C12" s="44" t="s">
        <v>41</v>
      </c>
      <c r="D12" s="44" t="s">
        <v>221</v>
      </c>
      <c r="E12" s="44" t="s">
        <v>222</v>
      </c>
      <c r="F12" s="43" t="s">
        <v>126</v>
      </c>
      <c r="G12" s="43" t="s">
        <v>132</v>
      </c>
      <c r="H12" s="43" t="s">
        <v>123</v>
      </c>
      <c r="I12" s="43" t="s">
        <v>223</v>
      </c>
      <c r="J12" s="43" t="s">
        <v>219</v>
      </c>
      <c r="K12" s="47"/>
      <c r="L12" s="47"/>
      <c r="M12" s="47"/>
      <c r="N12" s="47"/>
      <c r="O12" s="48">
        <v>26100.0</v>
      </c>
      <c r="P12" s="48">
        <v>26100.0</v>
      </c>
      <c r="Q12" s="48">
        <v>1.0</v>
      </c>
      <c r="R12" s="48" t="s">
        <v>215</v>
      </c>
      <c r="S12" s="48" t="s">
        <v>215</v>
      </c>
      <c r="T12" s="48"/>
      <c r="U12" s="48"/>
      <c r="V12" s="48"/>
      <c r="W12" s="48"/>
      <c r="X12" s="48"/>
      <c r="Y12" s="48"/>
      <c r="Z12" s="48"/>
      <c r="AA12" s="48"/>
      <c r="AB12" s="47"/>
      <c r="AC12" s="48"/>
      <c r="AD12" s="48"/>
      <c r="AE12" s="47"/>
      <c r="AF12" s="47"/>
      <c r="AG12" s="49" t="s">
        <v>217</v>
      </c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3" t="s">
        <v>224</v>
      </c>
      <c r="BN12" s="47"/>
      <c r="BO12" s="47"/>
      <c r="BP12" s="47"/>
      <c r="BQ12" s="47"/>
    </row>
    <row r="13" ht="45.0" customHeight="1">
      <c r="A13" s="43">
        <v>1910.0</v>
      </c>
      <c r="B13" s="44" t="s">
        <v>48</v>
      </c>
      <c r="C13" s="44" t="s">
        <v>49</v>
      </c>
      <c r="D13" s="44" t="s">
        <v>225</v>
      </c>
      <c r="E13" s="44" t="s">
        <v>226</v>
      </c>
      <c r="F13" s="43" t="s">
        <v>135</v>
      </c>
      <c r="G13" s="43" t="s">
        <v>132</v>
      </c>
      <c r="H13" s="43" t="s">
        <v>128</v>
      </c>
      <c r="I13" s="43" t="s">
        <v>223</v>
      </c>
      <c r="J13" s="43" t="s">
        <v>214</v>
      </c>
      <c r="K13" s="47"/>
      <c r="L13" s="47"/>
      <c r="M13" s="47"/>
      <c r="N13" s="47"/>
      <c r="O13" s="43">
        <v>82020.0</v>
      </c>
      <c r="P13" s="43">
        <v>95620.0</v>
      </c>
      <c r="Q13" s="43">
        <v>1.17</v>
      </c>
      <c r="R13" s="52">
        <v>27.6</v>
      </c>
      <c r="S13" s="48"/>
      <c r="T13" s="53" t="s">
        <v>227</v>
      </c>
      <c r="U13" s="53">
        <v>4.2</v>
      </c>
      <c r="V13" s="48" t="s">
        <v>228</v>
      </c>
      <c r="W13" s="48">
        <v>4.0</v>
      </c>
      <c r="X13" s="54" t="s">
        <v>229</v>
      </c>
      <c r="Y13" s="48" t="s">
        <v>230</v>
      </c>
      <c r="Z13" s="53" t="s">
        <v>231</v>
      </c>
      <c r="AA13" s="53">
        <v>575.0</v>
      </c>
      <c r="AB13" s="48" t="s">
        <v>232</v>
      </c>
      <c r="AC13" s="53" t="s">
        <v>233</v>
      </c>
      <c r="AD13" s="49"/>
      <c r="AE13" s="49" t="s">
        <v>234</v>
      </c>
      <c r="AF13" s="47"/>
      <c r="AG13" s="48" t="s">
        <v>235</v>
      </c>
      <c r="AH13" s="48" t="s">
        <v>217</v>
      </c>
      <c r="AI13" s="47"/>
      <c r="AJ13" s="48" t="s">
        <v>236</v>
      </c>
      <c r="AK13" s="49" t="s">
        <v>217</v>
      </c>
      <c r="AL13" s="47"/>
      <c r="AM13" s="47"/>
      <c r="AN13" s="55" t="s">
        <v>237</v>
      </c>
      <c r="AO13" s="55"/>
      <c r="AP13" s="48" t="s">
        <v>238</v>
      </c>
      <c r="AQ13" s="48" t="s">
        <v>239</v>
      </c>
      <c r="AR13" s="48" t="s">
        <v>240</v>
      </c>
      <c r="AS13" s="47"/>
      <c r="AT13" s="48" t="s">
        <v>241</v>
      </c>
      <c r="AU13" s="47"/>
      <c r="AV13" s="47"/>
      <c r="AW13" s="48" t="s">
        <v>242</v>
      </c>
      <c r="AX13" s="47"/>
      <c r="AY13" s="48" t="s">
        <v>243</v>
      </c>
      <c r="AZ13" s="43" t="s">
        <v>244</v>
      </c>
      <c r="BA13" s="48" t="s">
        <v>245</v>
      </c>
      <c r="BB13" s="48" t="s">
        <v>246</v>
      </c>
      <c r="BC13" s="47"/>
      <c r="BD13" s="47"/>
      <c r="BE13" s="48" t="s">
        <v>247</v>
      </c>
      <c r="BF13" s="43" t="s">
        <v>248</v>
      </c>
      <c r="BG13" s="47"/>
      <c r="BH13" s="47"/>
      <c r="BI13" s="47"/>
      <c r="BJ13" s="47"/>
      <c r="BK13" s="47"/>
      <c r="BL13" s="47"/>
      <c r="BM13" s="47"/>
      <c r="BN13" s="47"/>
      <c r="BO13" s="49" t="s">
        <v>249</v>
      </c>
      <c r="BP13" s="47"/>
      <c r="BQ13" s="47"/>
    </row>
    <row r="14" ht="45.0" customHeight="1">
      <c r="A14" s="43">
        <v>1911.0</v>
      </c>
      <c r="B14" s="44" t="s">
        <v>250</v>
      </c>
      <c r="C14" s="44" t="s">
        <v>251</v>
      </c>
      <c r="D14" s="44" t="s">
        <v>252</v>
      </c>
      <c r="E14" s="44" t="s">
        <v>253</v>
      </c>
      <c r="F14" s="43" t="s">
        <v>126</v>
      </c>
      <c r="G14" s="43" t="s">
        <v>132</v>
      </c>
      <c r="H14" s="43" t="s">
        <v>123</v>
      </c>
      <c r="I14" s="43" t="s">
        <v>213</v>
      </c>
      <c r="J14" s="44" t="s">
        <v>254</v>
      </c>
      <c r="K14" s="47"/>
      <c r="L14" s="47"/>
      <c r="M14" s="47"/>
      <c r="N14" s="47"/>
      <c r="O14" s="54" t="s">
        <v>215</v>
      </c>
      <c r="P14" s="43">
        <v>1510.0</v>
      </c>
      <c r="Q14" s="48" t="s">
        <v>215</v>
      </c>
      <c r="R14" s="48" t="s">
        <v>215</v>
      </c>
      <c r="S14" s="49" t="s">
        <v>255</v>
      </c>
      <c r="T14" s="49"/>
      <c r="U14" s="49"/>
      <c r="V14" s="49"/>
      <c r="W14" s="49"/>
      <c r="X14" s="47"/>
      <c r="Y14" s="47"/>
      <c r="Z14" s="47"/>
      <c r="AA14" s="48"/>
      <c r="AB14" s="47"/>
      <c r="AC14" s="48"/>
      <c r="AD14" s="47"/>
      <c r="AE14" s="47"/>
      <c r="AF14" s="49" t="s">
        <v>217</v>
      </c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</row>
    <row r="15" ht="45.0" customHeight="1">
      <c r="A15" s="43">
        <v>2007.0</v>
      </c>
      <c r="B15" s="44" t="s">
        <v>65</v>
      </c>
      <c r="C15" s="44" t="s">
        <v>66</v>
      </c>
      <c r="D15" s="51" t="s">
        <v>256</v>
      </c>
      <c r="E15" s="44" t="s">
        <v>257</v>
      </c>
      <c r="F15" s="43" t="s">
        <v>126</v>
      </c>
      <c r="G15" s="43" t="s">
        <v>132</v>
      </c>
      <c r="H15" s="43" t="s">
        <v>123</v>
      </c>
      <c r="I15" s="43" t="s">
        <v>223</v>
      </c>
      <c r="J15" s="43" t="s">
        <v>219</v>
      </c>
      <c r="K15" s="47"/>
      <c r="L15" s="47"/>
      <c r="M15" s="47"/>
      <c r="N15" s="47"/>
      <c r="O15" s="50">
        <v>78025.3</v>
      </c>
      <c r="P15" s="50">
        <v>87708.6</v>
      </c>
      <c r="Q15" s="50">
        <v>1.12</v>
      </c>
      <c r="R15" s="56" t="s">
        <v>215</v>
      </c>
      <c r="S15" s="56"/>
      <c r="T15" s="53" t="s">
        <v>227</v>
      </c>
      <c r="U15" s="49" t="s">
        <v>215</v>
      </c>
      <c r="V15" s="49" t="s">
        <v>258</v>
      </c>
      <c r="W15" s="49" t="s">
        <v>215</v>
      </c>
      <c r="X15" s="49" t="s">
        <v>259</v>
      </c>
      <c r="Y15" s="49" t="s">
        <v>260</v>
      </c>
      <c r="Z15" s="49"/>
      <c r="AA15" s="47"/>
      <c r="AB15" s="47"/>
      <c r="AC15" s="47"/>
      <c r="AD15" s="44"/>
      <c r="AE15" s="56" t="s">
        <v>261</v>
      </c>
      <c r="AF15" s="47"/>
      <c r="AG15" s="43"/>
      <c r="AH15" s="49" t="s">
        <v>217</v>
      </c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</row>
    <row r="16" ht="45.0" customHeight="1">
      <c r="A16" s="43">
        <v>2001.0</v>
      </c>
      <c r="B16" s="44" t="s">
        <v>55</v>
      </c>
      <c r="C16" s="44" t="s">
        <v>56</v>
      </c>
      <c r="D16" s="51" t="s">
        <v>262</v>
      </c>
      <c r="E16" s="44" t="s">
        <v>263</v>
      </c>
      <c r="F16" s="50" t="s">
        <v>126</v>
      </c>
      <c r="G16" s="43" t="s">
        <v>132</v>
      </c>
      <c r="H16" s="43" t="s">
        <v>123</v>
      </c>
      <c r="I16" s="43" t="s">
        <v>213</v>
      </c>
      <c r="J16" s="44" t="s">
        <v>254</v>
      </c>
      <c r="K16" s="47"/>
      <c r="L16" s="47"/>
      <c r="M16" s="47"/>
      <c r="N16" s="47"/>
      <c r="O16" s="50">
        <v>14359.66</v>
      </c>
      <c r="P16" s="43">
        <v>24197.79</v>
      </c>
      <c r="Q16" s="43">
        <v>1.69</v>
      </c>
      <c r="R16" s="48" t="s">
        <v>215</v>
      </c>
      <c r="S16" s="49" t="s">
        <v>215</v>
      </c>
      <c r="T16" s="53" t="s">
        <v>264</v>
      </c>
      <c r="U16" s="49" t="s">
        <v>215</v>
      </c>
      <c r="V16" s="48" t="s">
        <v>265</v>
      </c>
      <c r="W16" s="49" t="s">
        <v>215</v>
      </c>
      <c r="X16" s="48" t="s">
        <v>266</v>
      </c>
      <c r="Y16" s="48" t="s">
        <v>267</v>
      </c>
      <c r="Z16" s="48">
        <v>309.24</v>
      </c>
      <c r="AA16" s="47"/>
      <c r="AB16" s="48"/>
      <c r="AC16" s="47"/>
      <c r="AD16" s="47"/>
      <c r="AE16" s="49">
        <v>561.83</v>
      </c>
      <c r="AF16" s="47"/>
      <c r="AG16" s="47"/>
      <c r="AH16" s="47"/>
      <c r="AI16" s="49" t="s">
        <v>217</v>
      </c>
      <c r="AJ16" s="48"/>
      <c r="AK16" s="48"/>
      <c r="AL16" s="48" t="s">
        <v>268</v>
      </c>
      <c r="AM16" s="48"/>
      <c r="AN16" s="48"/>
      <c r="AO16" s="48"/>
      <c r="AP16" s="48"/>
      <c r="AQ16" s="48" t="s">
        <v>269</v>
      </c>
      <c r="AR16" s="48" t="s">
        <v>270</v>
      </c>
      <c r="AS16" s="48" t="s">
        <v>271</v>
      </c>
      <c r="AT16" s="48">
        <v>200.0</v>
      </c>
      <c r="AU16" s="48">
        <v>20.0</v>
      </c>
      <c r="AV16" s="48" t="s">
        <v>272</v>
      </c>
      <c r="AW16" s="48"/>
      <c r="AX16" s="48"/>
      <c r="AY16" s="48" t="s">
        <v>273</v>
      </c>
      <c r="AZ16" s="48" t="s">
        <v>274</v>
      </c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</row>
    <row r="17" ht="45.0" customHeight="1">
      <c r="A17" s="43">
        <v>2011.0</v>
      </c>
      <c r="B17" s="44" t="s">
        <v>73</v>
      </c>
      <c r="C17" s="44" t="s">
        <v>275</v>
      </c>
      <c r="D17" s="44" t="s">
        <v>276</v>
      </c>
      <c r="E17" s="44" t="s">
        <v>277</v>
      </c>
      <c r="F17" s="50" t="s">
        <v>135</v>
      </c>
      <c r="G17" s="50" t="s">
        <v>132</v>
      </c>
      <c r="H17" s="43" t="s">
        <v>128</v>
      </c>
      <c r="I17" s="43" t="s">
        <v>223</v>
      </c>
      <c r="J17" s="43" t="s">
        <v>214</v>
      </c>
      <c r="K17" s="47"/>
      <c r="L17" s="47"/>
      <c r="M17" s="47"/>
      <c r="N17" s="47"/>
      <c r="O17" s="43">
        <v>64962.9</v>
      </c>
      <c r="P17" s="50">
        <v>97443.9</v>
      </c>
      <c r="Q17" s="50">
        <v>1.5</v>
      </c>
      <c r="R17" s="48" t="s">
        <v>215</v>
      </c>
      <c r="S17" s="56"/>
      <c r="T17" s="53" t="s">
        <v>278</v>
      </c>
      <c r="U17" s="53">
        <v>4.2</v>
      </c>
      <c r="V17" s="48" t="s">
        <v>279</v>
      </c>
      <c r="W17" s="48">
        <v>3.6</v>
      </c>
      <c r="X17" s="48" t="s">
        <v>280</v>
      </c>
      <c r="Y17" s="48" t="s">
        <v>281</v>
      </c>
      <c r="Z17" s="49" t="s">
        <v>282</v>
      </c>
      <c r="AA17" s="53">
        <v>545.0</v>
      </c>
      <c r="AB17" s="49" t="s">
        <v>283</v>
      </c>
      <c r="AC17" s="53" t="s">
        <v>284</v>
      </c>
      <c r="AD17" s="49" t="s">
        <v>285</v>
      </c>
      <c r="AE17" s="49" t="s">
        <v>286</v>
      </c>
      <c r="AF17" s="47"/>
      <c r="AG17" s="47"/>
      <c r="AH17" s="49" t="s">
        <v>217</v>
      </c>
      <c r="AI17" s="47"/>
      <c r="AJ17" s="49">
        <v>27.36</v>
      </c>
      <c r="AK17" s="49" t="s">
        <v>217</v>
      </c>
      <c r="AL17" s="47"/>
      <c r="AM17" s="48" t="s">
        <v>287</v>
      </c>
      <c r="AN17" s="48" t="s">
        <v>288</v>
      </c>
      <c r="AO17" s="48"/>
      <c r="AP17" s="47"/>
      <c r="AQ17" s="57" t="s">
        <v>217</v>
      </c>
      <c r="AR17" s="49" t="s">
        <v>289</v>
      </c>
      <c r="AS17" s="47"/>
      <c r="AT17" s="49" t="s">
        <v>290</v>
      </c>
      <c r="AU17" s="47"/>
      <c r="AV17" s="47"/>
      <c r="AW17" s="47"/>
      <c r="AX17" s="49"/>
      <c r="AY17" s="49" t="s">
        <v>291</v>
      </c>
      <c r="AZ17" s="49" t="s">
        <v>292</v>
      </c>
      <c r="BA17" s="49"/>
      <c r="BB17" s="49"/>
      <c r="BC17" s="49"/>
      <c r="BD17" s="49"/>
      <c r="BE17" s="49"/>
      <c r="BF17" s="49"/>
      <c r="BG17" s="49" t="s">
        <v>293</v>
      </c>
      <c r="BH17" s="49"/>
      <c r="BI17" s="49"/>
      <c r="BJ17" s="49"/>
      <c r="BK17" s="49"/>
      <c r="BL17" s="49"/>
      <c r="BM17" s="49"/>
      <c r="BN17" s="49"/>
      <c r="BO17" s="49"/>
      <c r="BP17" s="49"/>
      <c r="BQ17" s="49"/>
    </row>
    <row r="18" ht="45.0" customHeight="1">
      <c r="A18" s="43">
        <v>2014.0</v>
      </c>
      <c r="B18" s="44" t="s">
        <v>79</v>
      </c>
      <c r="C18" s="58" t="s">
        <v>80</v>
      </c>
      <c r="D18" s="44" t="s">
        <v>294</v>
      </c>
      <c r="E18" s="44" t="s">
        <v>295</v>
      </c>
      <c r="F18" s="43" t="s">
        <v>126</v>
      </c>
      <c r="G18" s="50" t="s">
        <v>132</v>
      </c>
      <c r="H18" s="50" t="s">
        <v>128</v>
      </c>
      <c r="I18" s="50" t="s">
        <v>296</v>
      </c>
      <c r="J18" s="43" t="s">
        <v>214</v>
      </c>
      <c r="K18" s="47"/>
      <c r="L18" s="47"/>
      <c r="M18" s="47"/>
      <c r="N18" s="47"/>
      <c r="O18" s="48" t="s">
        <v>215</v>
      </c>
      <c r="P18" s="50">
        <v>103016.0</v>
      </c>
      <c r="Q18" s="48" t="s">
        <v>215</v>
      </c>
      <c r="R18" s="48" t="s">
        <v>215</v>
      </c>
      <c r="S18" s="56"/>
      <c r="T18" s="56" t="s">
        <v>297</v>
      </c>
      <c r="U18" s="56"/>
      <c r="V18" s="48" t="s">
        <v>264</v>
      </c>
      <c r="W18" s="48"/>
      <c r="X18" s="56" t="s">
        <v>298</v>
      </c>
      <c r="Y18" s="56" t="s">
        <v>299</v>
      </c>
      <c r="Z18" s="49"/>
      <c r="AA18" s="47"/>
      <c r="AB18" s="47"/>
      <c r="AC18" s="47"/>
      <c r="AD18" s="47"/>
      <c r="AE18" s="49" t="s">
        <v>217</v>
      </c>
      <c r="AF18" s="47"/>
      <c r="AG18" s="49" t="s">
        <v>300</v>
      </c>
      <c r="AH18" s="47"/>
      <c r="AI18" s="47"/>
      <c r="AJ18" s="49"/>
      <c r="AK18" s="49"/>
      <c r="AL18" s="47"/>
      <c r="AM18" s="47"/>
      <c r="AN18" s="47"/>
      <c r="AO18" s="47"/>
      <c r="AP18" s="49" t="s">
        <v>217</v>
      </c>
      <c r="AQ18" s="49" t="s">
        <v>217</v>
      </c>
      <c r="AR18" s="49" t="s">
        <v>301</v>
      </c>
      <c r="AS18" s="47"/>
      <c r="AT18" s="49" t="s">
        <v>217</v>
      </c>
      <c r="AU18" s="47"/>
      <c r="AV18" s="49" t="s">
        <v>302</v>
      </c>
      <c r="AW18" s="49"/>
      <c r="AX18" s="49" t="s">
        <v>217</v>
      </c>
      <c r="AY18" s="49" t="s">
        <v>217</v>
      </c>
      <c r="AZ18" s="47"/>
      <c r="BA18" s="47"/>
      <c r="BB18" s="49" t="s">
        <v>217</v>
      </c>
      <c r="BC18" s="49" t="s">
        <v>217</v>
      </c>
      <c r="BD18" s="49" t="s">
        <v>217</v>
      </c>
      <c r="BE18" s="49"/>
      <c r="BF18" s="49" t="s">
        <v>217</v>
      </c>
      <c r="BG18" s="49" t="s">
        <v>303</v>
      </c>
      <c r="BH18" s="49"/>
      <c r="BI18" s="49"/>
      <c r="BJ18" s="49"/>
      <c r="BK18" s="49"/>
      <c r="BL18" s="49"/>
      <c r="BM18" s="49"/>
      <c r="BN18" s="49"/>
      <c r="BO18" s="49"/>
      <c r="BP18" s="49"/>
      <c r="BQ18" s="49"/>
    </row>
    <row r="19" ht="45.0" customHeight="1">
      <c r="A19" s="43">
        <v>1705.0</v>
      </c>
      <c r="B19" s="44" t="s">
        <v>14</v>
      </c>
      <c r="C19" s="44" t="s">
        <v>15</v>
      </c>
      <c r="D19" s="59" t="s">
        <v>304</v>
      </c>
      <c r="E19" s="44" t="s">
        <v>15</v>
      </c>
      <c r="F19" s="43" t="s">
        <v>126</v>
      </c>
      <c r="G19" s="50" t="s">
        <v>122</v>
      </c>
      <c r="H19" s="43" t="s">
        <v>123</v>
      </c>
      <c r="I19" s="43" t="s">
        <v>213</v>
      </c>
      <c r="J19" s="43" t="s">
        <v>305</v>
      </c>
      <c r="K19" s="47"/>
      <c r="L19" s="47"/>
      <c r="M19" s="47"/>
      <c r="N19" s="47"/>
      <c r="O19" s="48" t="s">
        <v>215</v>
      </c>
      <c r="P19" s="43">
        <v>1000.0</v>
      </c>
      <c r="Q19" s="48" t="s">
        <v>215</v>
      </c>
      <c r="R19" s="48" t="s">
        <v>215</v>
      </c>
      <c r="S19" s="48" t="s">
        <v>220</v>
      </c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8" t="s">
        <v>217</v>
      </c>
      <c r="AK19" s="48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8"/>
      <c r="BF19" s="47"/>
      <c r="BG19" s="47"/>
      <c r="BH19" s="48" t="s">
        <v>217</v>
      </c>
      <c r="BI19" s="48" t="s">
        <v>217</v>
      </c>
      <c r="BJ19" s="48"/>
      <c r="BK19" s="48"/>
      <c r="BL19" s="48"/>
      <c r="BM19" s="48"/>
      <c r="BN19" s="48"/>
      <c r="BO19" s="48"/>
      <c r="BP19" s="48"/>
      <c r="BQ19" s="48"/>
    </row>
    <row r="20" ht="45.0" customHeight="1">
      <c r="A20" s="49">
        <v>1803.0</v>
      </c>
      <c r="B20" s="44" t="s">
        <v>26</v>
      </c>
      <c r="C20" s="60" t="s">
        <v>306</v>
      </c>
      <c r="D20" s="44" t="s">
        <v>307</v>
      </c>
      <c r="E20" s="61" t="s">
        <v>308</v>
      </c>
      <c r="F20" s="50" t="s">
        <v>126</v>
      </c>
      <c r="G20" s="50" t="s">
        <v>122</v>
      </c>
      <c r="H20" s="43" t="s">
        <v>123</v>
      </c>
      <c r="I20" s="50" t="s">
        <v>296</v>
      </c>
      <c r="J20" s="43" t="s">
        <v>214</v>
      </c>
      <c r="K20" s="47"/>
      <c r="L20" s="47"/>
      <c r="M20" s="47"/>
      <c r="N20" s="47"/>
      <c r="O20" s="48" t="s">
        <v>215</v>
      </c>
      <c r="P20" s="62">
        <v>450.0</v>
      </c>
      <c r="Q20" s="48" t="s">
        <v>215</v>
      </c>
      <c r="R20" s="48" t="s">
        <v>215</v>
      </c>
      <c r="S20" s="48" t="s">
        <v>215</v>
      </c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9" t="s">
        <v>217</v>
      </c>
      <c r="AF20" s="47"/>
      <c r="AG20" s="47"/>
      <c r="AH20" s="47"/>
      <c r="AI20" s="47"/>
      <c r="AJ20" s="47"/>
      <c r="AK20" s="48" t="s">
        <v>217</v>
      </c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8" t="s">
        <v>217</v>
      </c>
      <c r="BF20" s="47"/>
      <c r="BG20" s="55" t="s">
        <v>217</v>
      </c>
      <c r="BH20" s="48" t="s">
        <v>217</v>
      </c>
      <c r="BI20" s="47"/>
      <c r="BJ20" s="48"/>
      <c r="BK20" s="48" t="s">
        <v>217</v>
      </c>
      <c r="BL20" s="48" t="s">
        <v>217</v>
      </c>
      <c r="BM20" s="48"/>
      <c r="BN20" s="48"/>
      <c r="BO20" s="48"/>
      <c r="BP20" s="48"/>
      <c r="BQ20" s="48"/>
    </row>
    <row r="21" ht="45.0" customHeight="1">
      <c r="A21" s="43">
        <v>1704.0</v>
      </c>
      <c r="B21" s="44" t="s">
        <v>12</v>
      </c>
      <c r="C21" s="44" t="s">
        <v>309</v>
      </c>
      <c r="D21" s="44" t="s">
        <v>310</v>
      </c>
      <c r="E21" s="63" t="s">
        <v>311</v>
      </c>
      <c r="F21" s="50" t="s">
        <v>135</v>
      </c>
      <c r="G21" s="50" t="s">
        <v>132</v>
      </c>
      <c r="H21" s="43" t="s">
        <v>123</v>
      </c>
      <c r="I21" s="50" t="s">
        <v>296</v>
      </c>
      <c r="J21" s="43" t="s">
        <v>312</v>
      </c>
      <c r="K21" s="47"/>
      <c r="L21" s="47"/>
      <c r="M21" s="47"/>
      <c r="N21" s="47"/>
      <c r="O21" s="48" t="s">
        <v>215</v>
      </c>
      <c r="P21" s="48" t="s">
        <v>215</v>
      </c>
      <c r="Q21" s="48" t="s">
        <v>215</v>
      </c>
      <c r="R21" s="48" t="s">
        <v>215</v>
      </c>
      <c r="S21" s="48" t="s">
        <v>220</v>
      </c>
      <c r="T21" s="47"/>
      <c r="U21" s="47"/>
      <c r="V21" s="47"/>
      <c r="W21" s="47"/>
      <c r="X21" s="47"/>
      <c r="Y21" s="48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8" t="s">
        <v>313</v>
      </c>
      <c r="AW21" s="48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8" t="s">
        <v>217</v>
      </c>
      <c r="BK21" s="47"/>
      <c r="BL21" s="47"/>
      <c r="BM21" s="48" t="s">
        <v>217</v>
      </c>
      <c r="BN21" s="48"/>
      <c r="BO21" s="48"/>
      <c r="BP21" s="48"/>
      <c r="BQ21" s="48"/>
    </row>
    <row r="22" ht="45.0" customHeight="1">
      <c r="A22" s="49">
        <v>1706.0</v>
      </c>
      <c r="B22" s="44" t="s">
        <v>16</v>
      </c>
      <c r="C22" s="44" t="s">
        <v>17</v>
      </c>
      <c r="D22" s="44" t="s">
        <v>314</v>
      </c>
      <c r="E22" s="44" t="s">
        <v>315</v>
      </c>
      <c r="F22" s="50" t="s">
        <v>126</v>
      </c>
      <c r="G22" s="50" t="s">
        <v>132</v>
      </c>
      <c r="H22" s="43" t="s">
        <v>123</v>
      </c>
      <c r="I22" s="43" t="s">
        <v>213</v>
      </c>
      <c r="J22" s="43" t="s">
        <v>214</v>
      </c>
      <c r="K22" s="47"/>
      <c r="L22" s="47"/>
      <c r="M22" s="47"/>
      <c r="N22" s="47"/>
      <c r="O22" s="43">
        <v>13500.0</v>
      </c>
      <c r="P22" s="43">
        <v>9500.0</v>
      </c>
      <c r="Q22" s="48">
        <v>0.7</v>
      </c>
      <c r="R22" s="48" t="s">
        <v>215</v>
      </c>
      <c r="S22" s="48" t="s">
        <v>316</v>
      </c>
      <c r="T22" s="48" t="s">
        <v>316</v>
      </c>
      <c r="U22" s="43">
        <v>3.4</v>
      </c>
      <c r="V22" s="48" t="s">
        <v>316</v>
      </c>
      <c r="W22" s="43">
        <v>3.83</v>
      </c>
      <c r="X22" s="48" t="s">
        <v>317</v>
      </c>
      <c r="Y22" s="57" t="s">
        <v>318</v>
      </c>
      <c r="Z22" s="43">
        <v>302.3</v>
      </c>
      <c r="AA22" s="47"/>
      <c r="AB22" s="47"/>
      <c r="AC22" s="47"/>
      <c r="AD22" s="47"/>
      <c r="AE22" s="43">
        <f>143.69+113.79</f>
        <v>257.48</v>
      </c>
      <c r="AF22" s="47"/>
      <c r="AG22" s="47"/>
      <c r="AH22" s="49" t="s">
        <v>217</v>
      </c>
      <c r="AI22" s="47"/>
      <c r="AJ22" s="48" t="s">
        <v>217</v>
      </c>
      <c r="AK22" s="48" t="s">
        <v>217</v>
      </c>
      <c r="AL22" s="47"/>
      <c r="AM22" s="47"/>
      <c r="AN22" s="47"/>
      <c r="AO22" s="47"/>
      <c r="AP22" s="47"/>
      <c r="AQ22" s="47"/>
      <c r="AR22" s="49" t="s">
        <v>319</v>
      </c>
      <c r="AS22" s="47"/>
      <c r="AT22" s="47"/>
      <c r="AU22" s="47"/>
      <c r="AV22" s="47"/>
      <c r="AW22" s="47"/>
      <c r="AX22" s="47"/>
      <c r="AY22" s="43">
        <v>105.57</v>
      </c>
      <c r="AZ22" s="47"/>
      <c r="BA22" s="47"/>
      <c r="BB22" s="47"/>
      <c r="BC22" s="47"/>
      <c r="BD22" s="47"/>
      <c r="BE22" s="47"/>
      <c r="BF22" s="43">
        <v>135.28</v>
      </c>
      <c r="BG22" s="47"/>
      <c r="BH22" s="48" t="s">
        <v>217</v>
      </c>
      <c r="BI22" s="47"/>
      <c r="BJ22" s="47"/>
      <c r="BK22" s="47"/>
      <c r="BL22" s="47"/>
      <c r="BM22" s="48" t="s">
        <v>320</v>
      </c>
      <c r="BN22" s="43">
        <v>36.97</v>
      </c>
      <c r="BO22" s="49" t="s">
        <v>321</v>
      </c>
      <c r="BP22" s="48">
        <v>70.93</v>
      </c>
      <c r="BQ22" s="48"/>
    </row>
    <row r="23" ht="45.0" customHeight="1">
      <c r="A23" s="49">
        <v>1707.0</v>
      </c>
      <c r="B23" s="44" t="s">
        <v>18</v>
      </c>
      <c r="C23" s="44" t="s">
        <v>19</v>
      </c>
      <c r="D23" s="44" t="s">
        <v>322</v>
      </c>
      <c r="E23" s="44" t="s">
        <v>323</v>
      </c>
      <c r="F23" s="50" t="s">
        <v>126</v>
      </c>
      <c r="G23" s="62" t="s">
        <v>127</v>
      </c>
      <c r="H23" s="43" t="s">
        <v>128</v>
      </c>
      <c r="I23" s="43" t="s">
        <v>324</v>
      </c>
      <c r="J23" s="43" t="s">
        <v>130</v>
      </c>
      <c r="K23" s="47"/>
      <c r="L23" s="47"/>
      <c r="M23" s="47"/>
      <c r="N23" s="47"/>
      <c r="O23" s="43">
        <v>58147.0</v>
      </c>
      <c r="P23" s="43">
        <v>58147.0</v>
      </c>
      <c r="Q23" s="43">
        <v>1.0</v>
      </c>
      <c r="R23" s="48" t="s">
        <v>215</v>
      </c>
      <c r="S23" s="48" t="s">
        <v>325</v>
      </c>
      <c r="T23" s="54" t="s">
        <v>326</v>
      </c>
      <c r="U23" s="48" t="s">
        <v>215</v>
      </c>
      <c r="V23" s="54" t="s">
        <v>327</v>
      </c>
      <c r="W23" s="48" t="s">
        <v>215</v>
      </c>
      <c r="X23" s="48" t="s">
        <v>215</v>
      </c>
      <c r="Y23" s="48" t="s">
        <v>215</v>
      </c>
      <c r="Z23" s="43">
        <v>1050.0</v>
      </c>
      <c r="AA23" s="47"/>
      <c r="AB23" s="48" t="s">
        <v>328</v>
      </c>
      <c r="AC23" s="47"/>
      <c r="AD23" s="49" t="s">
        <v>329</v>
      </c>
      <c r="AE23" s="49" t="s">
        <v>217</v>
      </c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9" t="s">
        <v>319</v>
      </c>
      <c r="AS23" s="47"/>
      <c r="AT23" s="49" t="s">
        <v>217</v>
      </c>
      <c r="AU23" s="47"/>
      <c r="AV23" s="47"/>
      <c r="AW23" s="47"/>
      <c r="AX23" s="47"/>
      <c r="AY23" s="49" t="s">
        <v>217</v>
      </c>
      <c r="AZ23" s="49" t="s">
        <v>217</v>
      </c>
      <c r="BA23" s="49"/>
      <c r="BB23" s="47"/>
      <c r="BC23" s="49"/>
      <c r="BD23" s="49"/>
      <c r="BE23" s="47"/>
      <c r="BF23" s="47"/>
      <c r="BG23" s="48" t="s">
        <v>330</v>
      </c>
      <c r="BH23" s="47"/>
      <c r="BI23" s="47"/>
      <c r="BJ23" s="47"/>
      <c r="BK23" s="47"/>
      <c r="BL23" s="47"/>
      <c r="BM23" s="48" t="s">
        <v>320</v>
      </c>
      <c r="BN23" s="47"/>
      <c r="BO23" s="49" t="s">
        <v>217</v>
      </c>
      <c r="BP23" s="49"/>
      <c r="BQ23" s="49"/>
    </row>
    <row r="24" ht="45.0" customHeight="1">
      <c r="A24" s="49">
        <v>1805.0</v>
      </c>
      <c r="B24" s="44" t="s">
        <v>28</v>
      </c>
      <c r="C24" s="64" t="s">
        <v>29</v>
      </c>
      <c r="D24" s="44" t="s">
        <v>331</v>
      </c>
      <c r="E24" s="61" t="s">
        <v>29</v>
      </c>
      <c r="F24" s="50" t="s">
        <v>126</v>
      </c>
      <c r="G24" s="50" t="s">
        <v>132</v>
      </c>
      <c r="H24" s="43" t="s">
        <v>123</v>
      </c>
      <c r="I24" s="43" t="s">
        <v>213</v>
      </c>
      <c r="J24" s="43" t="s">
        <v>214</v>
      </c>
      <c r="K24" s="47"/>
      <c r="L24" s="47"/>
      <c r="M24" s="47"/>
      <c r="N24" s="47"/>
      <c r="O24" s="43">
        <v>500.0</v>
      </c>
      <c r="P24" s="43">
        <v>500.0</v>
      </c>
      <c r="Q24" s="43">
        <v>1.0</v>
      </c>
      <c r="R24" s="48" t="s">
        <v>215</v>
      </c>
      <c r="S24" s="48" t="s">
        <v>215</v>
      </c>
      <c r="T24" s="48" t="s">
        <v>215</v>
      </c>
      <c r="U24" s="48" t="s">
        <v>215</v>
      </c>
      <c r="V24" s="48" t="s">
        <v>215</v>
      </c>
      <c r="W24" s="48" t="s">
        <v>215</v>
      </c>
      <c r="X24" s="48" t="s">
        <v>215</v>
      </c>
      <c r="Y24" s="48" t="s">
        <v>215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8" t="s">
        <v>217</v>
      </c>
      <c r="AK24" s="48" t="s">
        <v>217</v>
      </c>
      <c r="AL24" s="47"/>
      <c r="AM24" s="47"/>
      <c r="AN24" s="47"/>
      <c r="AO24" s="47"/>
      <c r="AP24" s="47"/>
      <c r="AQ24" s="49" t="s">
        <v>217</v>
      </c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</row>
    <row r="25" ht="45.0" customHeight="1">
      <c r="A25" s="49">
        <v>1908.0</v>
      </c>
      <c r="B25" s="44" t="s">
        <v>44</v>
      </c>
      <c r="C25" s="65" t="s">
        <v>308</v>
      </c>
      <c r="D25" s="65" t="s">
        <v>332</v>
      </c>
      <c r="E25" s="65" t="s">
        <v>333</v>
      </c>
      <c r="F25" s="50" t="s">
        <v>126</v>
      </c>
      <c r="G25" s="50" t="s">
        <v>132</v>
      </c>
      <c r="H25" s="43" t="s">
        <v>123</v>
      </c>
      <c r="I25" s="43" t="s">
        <v>213</v>
      </c>
      <c r="J25" s="43" t="s">
        <v>214</v>
      </c>
      <c r="K25" s="47"/>
      <c r="L25" s="47"/>
      <c r="M25" s="47"/>
      <c r="N25" s="47"/>
      <c r="O25" s="48" t="s">
        <v>215</v>
      </c>
      <c r="P25" s="43">
        <v>800.0</v>
      </c>
      <c r="Q25" s="48" t="s">
        <v>215</v>
      </c>
      <c r="R25" s="48" t="s">
        <v>215</v>
      </c>
      <c r="S25" s="48" t="s">
        <v>220</v>
      </c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8" t="s">
        <v>217</v>
      </c>
      <c r="AK25" s="48" t="s">
        <v>217</v>
      </c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55" t="s">
        <v>320</v>
      </c>
      <c r="BN25" s="47"/>
      <c r="BO25" s="47"/>
      <c r="BP25" s="47"/>
      <c r="BQ25" s="47"/>
    </row>
    <row r="26" ht="45.0" customHeight="1">
      <c r="A26" s="49">
        <v>2002.0</v>
      </c>
      <c r="B26" s="44" t="s">
        <v>57</v>
      </c>
      <c r="C26" s="66" t="s">
        <v>58</v>
      </c>
      <c r="D26" s="44" t="s">
        <v>334</v>
      </c>
      <c r="E26" s="65" t="s">
        <v>335</v>
      </c>
      <c r="F26" s="50" t="s">
        <v>126</v>
      </c>
      <c r="G26" s="50" t="s">
        <v>132</v>
      </c>
      <c r="H26" s="43" t="s">
        <v>123</v>
      </c>
      <c r="I26" s="50" t="s">
        <v>296</v>
      </c>
      <c r="J26" s="43" t="s">
        <v>214</v>
      </c>
      <c r="K26" s="55" t="s">
        <v>336</v>
      </c>
      <c r="L26" s="47"/>
      <c r="M26" s="47"/>
      <c r="N26" s="47"/>
      <c r="O26" s="48" t="s">
        <v>215</v>
      </c>
      <c r="P26" s="43">
        <v>100.0</v>
      </c>
      <c r="Q26" s="48" t="s">
        <v>215</v>
      </c>
      <c r="R26" s="48" t="s">
        <v>215</v>
      </c>
      <c r="S26" s="48" t="s">
        <v>220</v>
      </c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54"/>
      <c r="BM26" s="47"/>
      <c r="BN26" s="47"/>
      <c r="BO26" s="47"/>
      <c r="BP26" s="47"/>
      <c r="BQ26" s="47"/>
    </row>
    <row r="27" ht="45.0" customHeight="1">
      <c r="A27" s="49">
        <v>2102.0</v>
      </c>
      <c r="B27" s="44" t="s">
        <v>86</v>
      </c>
      <c r="C27" s="43" t="s">
        <v>87</v>
      </c>
      <c r="D27" s="44" t="s">
        <v>337</v>
      </c>
      <c r="E27" s="44" t="s">
        <v>338</v>
      </c>
      <c r="F27" s="50" t="s">
        <v>126</v>
      </c>
      <c r="G27" s="50" t="s">
        <v>132</v>
      </c>
      <c r="H27" s="43" t="s">
        <v>123</v>
      </c>
      <c r="I27" s="50" t="s">
        <v>296</v>
      </c>
      <c r="J27" s="43" t="s">
        <v>214</v>
      </c>
      <c r="K27" s="47"/>
      <c r="L27" s="47"/>
      <c r="M27" s="47"/>
      <c r="N27" s="47"/>
      <c r="O27" s="48" t="s">
        <v>215</v>
      </c>
      <c r="P27" s="48" t="s">
        <v>215</v>
      </c>
      <c r="Q27" s="48" t="s">
        <v>215</v>
      </c>
      <c r="R27" s="48" t="s">
        <v>215</v>
      </c>
      <c r="S27" s="47"/>
      <c r="T27" s="48" t="s">
        <v>316</v>
      </c>
      <c r="U27" s="48">
        <v>4.5</v>
      </c>
      <c r="V27" s="48" t="s">
        <v>264</v>
      </c>
      <c r="W27" s="43">
        <v>4.5</v>
      </c>
      <c r="X27" s="48" t="s">
        <v>339</v>
      </c>
      <c r="Y27" s="48" t="s">
        <v>340</v>
      </c>
      <c r="Z27" s="47"/>
      <c r="AA27" s="47"/>
      <c r="AB27" s="48" t="s">
        <v>341</v>
      </c>
      <c r="AC27" s="48" t="s">
        <v>342</v>
      </c>
      <c r="AD27" s="47"/>
      <c r="AE27" s="49" t="s">
        <v>343</v>
      </c>
      <c r="AF27" s="47"/>
      <c r="AG27" s="47"/>
      <c r="AH27" s="47"/>
      <c r="AI27" s="47"/>
      <c r="AJ27" s="48" t="s">
        <v>217</v>
      </c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8" t="s">
        <v>320</v>
      </c>
      <c r="BN27" s="47"/>
      <c r="BO27" s="47"/>
      <c r="BP27" s="47"/>
      <c r="BQ27" s="47"/>
    </row>
    <row r="28" ht="45.0" customHeight="1">
      <c r="A28" s="49">
        <v>2103.0</v>
      </c>
      <c r="B28" s="44" t="s">
        <v>88</v>
      </c>
      <c r="C28" s="44" t="s">
        <v>89</v>
      </c>
      <c r="D28" s="67" t="s">
        <v>344</v>
      </c>
      <c r="E28" s="67" t="s">
        <v>345</v>
      </c>
      <c r="F28" s="50" t="s">
        <v>126</v>
      </c>
      <c r="G28" s="50" t="s">
        <v>132</v>
      </c>
      <c r="H28" s="43" t="s">
        <v>123</v>
      </c>
      <c r="I28" s="43" t="s">
        <v>213</v>
      </c>
      <c r="J28" s="43" t="s">
        <v>346</v>
      </c>
      <c r="K28" s="47"/>
      <c r="L28" s="47"/>
      <c r="M28" s="47"/>
      <c r="N28" s="47"/>
      <c r="O28" s="43">
        <v>65184.0</v>
      </c>
      <c r="P28" s="43">
        <v>71450.0</v>
      </c>
      <c r="Q28" s="43">
        <v>1.1</v>
      </c>
      <c r="R28" s="48" t="s">
        <v>215</v>
      </c>
      <c r="S28" s="47"/>
      <c r="T28" s="48" t="s">
        <v>227</v>
      </c>
      <c r="U28" s="43">
        <v>4.6</v>
      </c>
      <c r="V28" s="48" t="s">
        <v>325</v>
      </c>
      <c r="W28" s="43">
        <v>3.5</v>
      </c>
      <c r="X28" s="48" t="s">
        <v>215</v>
      </c>
      <c r="Y28" s="48" t="s">
        <v>215</v>
      </c>
      <c r="Z28" s="48" t="s">
        <v>347</v>
      </c>
      <c r="AA28" s="47"/>
      <c r="AB28" s="48" t="s">
        <v>348</v>
      </c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3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3">
        <v>2100.0</v>
      </c>
      <c r="BH28" s="47"/>
      <c r="BI28" s="47"/>
      <c r="BJ28" s="47"/>
      <c r="BK28" s="47"/>
      <c r="BL28" s="47"/>
      <c r="BM28" s="48" t="s">
        <v>349</v>
      </c>
      <c r="BN28" s="47"/>
      <c r="BO28" s="47"/>
      <c r="BP28" s="47"/>
      <c r="BQ28" s="47"/>
    </row>
    <row r="29" ht="45.0" customHeight="1">
      <c r="A29" s="49">
        <v>2104.0</v>
      </c>
      <c r="B29" s="44" t="s">
        <v>90</v>
      </c>
      <c r="C29" s="68" t="s">
        <v>91</v>
      </c>
      <c r="D29" s="44" t="s">
        <v>350</v>
      </c>
      <c r="E29" s="44" t="s">
        <v>351</v>
      </c>
      <c r="F29" s="50" t="s">
        <v>126</v>
      </c>
      <c r="G29" s="50" t="s">
        <v>132</v>
      </c>
      <c r="H29" s="43" t="s">
        <v>123</v>
      </c>
      <c r="I29" s="50" t="s">
        <v>296</v>
      </c>
      <c r="J29" s="43" t="s">
        <v>352</v>
      </c>
      <c r="K29" s="47"/>
      <c r="L29" s="47"/>
      <c r="M29" s="47"/>
      <c r="N29" s="47"/>
      <c r="O29" s="48" t="s">
        <v>215</v>
      </c>
      <c r="P29" s="48" t="s">
        <v>353</v>
      </c>
      <c r="Q29" s="48" t="s">
        <v>215</v>
      </c>
      <c r="R29" s="48" t="s">
        <v>215</v>
      </c>
      <c r="S29" s="48" t="s">
        <v>316</v>
      </c>
      <c r="T29" s="48" t="s">
        <v>215</v>
      </c>
      <c r="U29" s="48" t="s">
        <v>215</v>
      </c>
      <c r="V29" s="48" t="s">
        <v>215</v>
      </c>
      <c r="W29" s="48" t="s">
        <v>215</v>
      </c>
      <c r="X29" s="47"/>
      <c r="Y29" s="47"/>
      <c r="Z29" s="47"/>
      <c r="AA29" s="47"/>
      <c r="AB29" s="47"/>
      <c r="AC29" s="47"/>
      <c r="AD29" s="47"/>
      <c r="AE29" s="49" t="s">
        <v>343</v>
      </c>
      <c r="AF29" s="47"/>
      <c r="AG29" s="47"/>
      <c r="AH29" s="47"/>
      <c r="AI29" s="47"/>
      <c r="AJ29" s="48" t="s">
        <v>354</v>
      </c>
      <c r="AK29" s="48" t="s">
        <v>217</v>
      </c>
      <c r="AL29" s="48" t="s">
        <v>355</v>
      </c>
      <c r="AM29" s="48"/>
      <c r="AN29" s="48"/>
      <c r="AO29" s="48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3">
        <v>70.0</v>
      </c>
      <c r="BA29" s="43"/>
      <c r="BB29" s="49" t="s">
        <v>217</v>
      </c>
      <c r="BC29" s="47"/>
      <c r="BD29" s="47"/>
      <c r="BE29" s="47"/>
      <c r="BF29" s="49" t="s">
        <v>217</v>
      </c>
      <c r="BG29" s="47"/>
      <c r="BH29" s="47"/>
      <c r="BI29" s="47"/>
      <c r="BJ29" s="47"/>
      <c r="BK29" s="47"/>
      <c r="BL29" s="47"/>
      <c r="BM29" s="48" t="s">
        <v>356</v>
      </c>
      <c r="BN29" s="47"/>
      <c r="BO29" s="47"/>
      <c r="BP29" s="47"/>
      <c r="BQ29" s="47"/>
    </row>
    <row r="30" ht="45.0" customHeight="1">
      <c r="A30" s="43">
        <v>2.0201023E7</v>
      </c>
      <c r="B30" s="44" t="s">
        <v>357</v>
      </c>
      <c r="C30" s="43" t="s">
        <v>100</v>
      </c>
      <c r="D30" s="44" t="s">
        <v>358</v>
      </c>
      <c r="E30" s="44" t="s">
        <v>359</v>
      </c>
      <c r="F30" s="50" t="s">
        <v>126</v>
      </c>
      <c r="G30" s="50" t="s">
        <v>127</v>
      </c>
      <c r="H30" s="43" t="s">
        <v>128</v>
      </c>
      <c r="I30" s="43" t="s">
        <v>360</v>
      </c>
      <c r="J30" s="43" t="s">
        <v>130</v>
      </c>
      <c r="K30" s="47"/>
      <c r="L30" s="47"/>
      <c r="M30" s="47"/>
      <c r="N30" s="47"/>
      <c r="O30" s="47"/>
      <c r="P30" s="43">
        <v>62614.0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</row>
    <row r="31" ht="45.0" customHeight="1">
      <c r="A31" s="27">
        <v>2.0200918E7</v>
      </c>
      <c r="B31" s="27" t="s">
        <v>98</v>
      </c>
      <c r="C31" s="27" t="s">
        <v>361</v>
      </c>
      <c r="D31" s="69" t="s">
        <v>362</v>
      </c>
      <c r="E31" s="27" t="s">
        <v>99</v>
      </c>
      <c r="F31" s="50" t="s">
        <v>126</v>
      </c>
      <c r="G31" s="50" t="s">
        <v>127</v>
      </c>
      <c r="H31" s="43" t="s">
        <v>128</v>
      </c>
      <c r="I31" s="43" t="s">
        <v>360</v>
      </c>
      <c r="J31" s="43" t="s">
        <v>130</v>
      </c>
      <c r="P31" s="27">
        <v>41355.0</v>
      </c>
      <c r="AF31" s="29"/>
      <c r="AH31" s="29"/>
      <c r="AI31" s="29"/>
      <c r="AS31" s="29"/>
      <c r="AU31" s="29"/>
      <c r="AV31" s="29"/>
      <c r="AX31" s="29"/>
      <c r="BC31" s="29"/>
      <c r="BD31" s="29"/>
    </row>
    <row r="32" ht="45.0" customHeight="1">
      <c r="A32" s="27"/>
      <c r="B32" s="27" t="s">
        <v>363</v>
      </c>
      <c r="C32" s="27" t="s">
        <v>364</v>
      </c>
      <c r="D32" s="69" t="s">
        <v>362</v>
      </c>
      <c r="E32" s="27"/>
      <c r="F32" s="50" t="s">
        <v>126</v>
      </c>
      <c r="G32" s="50" t="s">
        <v>127</v>
      </c>
      <c r="H32" s="43" t="s">
        <v>123</v>
      </c>
      <c r="I32" s="43" t="s">
        <v>360</v>
      </c>
      <c r="J32" s="43" t="s">
        <v>130</v>
      </c>
      <c r="O32" s="27">
        <v>70031.0</v>
      </c>
      <c r="P32" s="27">
        <v>138100.0</v>
      </c>
      <c r="Q32" s="27">
        <v>1.8</v>
      </c>
      <c r="R32" s="48" t="s">
        <v>215</v>
      </c>
      <c r="AF32" s="29"/>
      <c r="AH32" s="29"/>
      <c r="AI32" s="29"/>
      <c r="AS32" s="29"/>
      <c r="AU32" s="29"/>
      <c r="AV32" s="29"/>
      <c r="AX32" s="29"/>
      <c r="BC32" s="29"/>
      <c r="BD32" s="29"/>
    </row>
    <row r="33" ht="45.0" customHeight="1">
      <c r="A33" s="27">
        <v>2.0210906E7</v>
      </c>
      <c r="B33" s="27" t="s">
        <v>114</v>
      </c>
      <c r="C33" s="27" t="s">
        <v>115</v>
      </c>
      <c r="D33" s="70"/>
      <c r="E33" s="70"/>
      <c r="F33" s="50" t="s">
        <v>126</v>
      </c>
      <c r="G33" s="50" t="s">
        <v>127</v>
      </c>
      <c r="H33" s="43" t="s">
        <v>123</v>
      </c>
      <c r="I33" s="43" t="s">
        <v>360</v>
      </c>
      <c r="J33" s="43" t="s">
        <v>130</v>
      </c>
      <c r="O33" s="27">
        <v>22345.0</v>
      </c>
      <c r="P33" s="27">
        <v>50697.0</v>
      </c>
      <c r="Q33" s="27">
        <v>1.5</v>
      </c>
      <c r="R33" s="48" t="s">
        <v>215</v>
      </c>
      <c r="AF33" s="29"/>
      <c r="AH33" s="29"/>
      <c r="AI33" s="29"/>
      <c r="AS33" s="29"/>
      <c r="AU33" s="29"/>
      <c r="AV33" s="29"/>
      <c r="AX33" s="29"/>
      <c r="BC33" s="29"/>
      <c r="BD33" s="29"/>
    </row>
    <row r="34" ht="45.0" customHeight="1">
      <c r="A34" s="27">
        <v>2.0210906E7</v>
      </c>
      <c r="B34" s="27" t="s">
        <v>114</v>
      </c>
      <c r="C34" s="27" t="s">
        <v>116</v>
      </c>
      <c r="D34" s="71" t="s">
        <v>365</v>
      </c>
      <c r="E34" s="28" t="s">
        <v>366</v>
      </c>
      <c r="F34" s="50" t="s">
        <v>126</v>
      </c>
      <c r="G34" s="50" t="s">
        <v>127</v>
      </c>
      <c r="H34" s="43" t="s">
        <v>128</v>
      </c>
      <c r="I34" s="43" t="s">
        <v>360</v>
      </c>
      <c r="J34" s="43" t="s">
        <v>130</v>
      </c>
      <c r="O34" s="27">
        <v>26493.0</v>
      </c>
      <c r="P34" s="27">
        <v>52767.0</v>
      </c>
      <c r="Q34" s="27">
        <v>1.2</v>
      </c>
      <c r="R34" s="48" t="s">
        <v>215</v>
      </c>
      <c r="S34" s="27" t="s">
        <v>367</v>
      </c>
      <c r="U34" s="27">
        <v>3.9</v>
      </c>
      <c r="V34" s="27">
        <v>8.0</v>
      </c>
      <c r="W34" s="27">
        <v>2.4</v>
      </c>
      <c r="X34" s="48" t="s">
        <v>368</v>
      </c>
      <c r="AB34" s="27">
        <v>2000.0</v>
      </c>
      <c r="AE34" s="27">
        <v>2012.0</v>
      </c>
      <c r="AF34" s="49" t="s">
        <v>217</v>
      </c>
      <c r="AG34" s="49" t="s">
        <v>217</v>
      </c>
      <c r="AH34" s="29"/>
      <c r="AI34" s="49" t="s">
        <v>217</v>
      </c>
      <c r="AK34" s="49" t="s">
        <v>217</v>
      </c>
      <c r="AM34" s="27">
        <v>360.0</v>
      </c>
      <c r="AQ34" s="27" t="s">
        <v>369</v>
      </c>
      <c r="AS34" s="29"/>
      <c r="AT34" s="27" t="s">
        <v>369</v>
      </c>
      <c r="AU34" s="29"/>
      <c r="AV34" s="29"/>
      <c r="AX34" s="29"/>
      <c r="AZ34" s="27"/>
      <c r="BA34" s="27" t="s">
        <v>369</v>
      </c>
      <c r="BB34" s="27" t="s">
        <v>369</v>
      </c>
      <c r="BC34" s="49" t="s">
        <v>217</v>
      </c>
      <c r="BD34" s="49" t="s">
        <v>217</v>
      </c>
      <c r="BM34" s="27">
        <v>2682.0</v>
      </c>
    </row>
    <row r="35" ht="45.0" customHeight="1">
      <c r="B35" s="70"/>
      <c r="C35" s="70"/>
      <c r="D35" s="70"/>
      <c r="E35" s="70"/>
      <c r="AF35" s="29"/>
      <c r="AH35" s="29"/>
      <c r="AI35" s="29"/>
      <c r="AS35" s="29"/>
      <c r="AU35" s="29"/>
      <c r="AV35" s="29"/>
      <c r="AX35" s="29"/>
      <c r="BC35" s="29"/>
      <c r="BD35" s="29"/>
    </row>
    <row r="36" ht="45.0" customHeight="1">
      <c r="B36" s="70"/>
      <c r="C36" s="70"/>
      <c r="D36" s="70"/>
      <c r="E36" s="70"/>
      <c r="AF36" s="29"/>
      <c r="AH36" s="29"/>
      <c r="AI36" s="29"/>
      <c r="AS36" s="29"/>
      <c r="AU36" s="29"/>
      <c r="AV36" s="29"/>
      <c r="AX36" s="29"/>
      <c r="BC36" s="29"/>
      <c r="BD36" s="29"/>
    </row>
    <row r="37" ht="45.0" customHeight="1">
      <c r="B37" s="70"/>
      <c r="C37" s="70"/>
      <c r="D37" s="70"/>
      <c r="E37" s="70"/>
      <c r="AF37" s="29"/>
      <c r="AH37" s="29"/>
      <c r="AI37" s="29"/>
      <c r="AS37" s="29"/>
      <c r="AU37" s="29"/>
      <c r="AV37" s="29"/>
      <c r="AX37" s="29"/>
      <c r="BC37" s="29"/>
      <c r="BD37" s="29"/>
    </row>
    <row r="38" ht="45.0" customHeight="1">
      <c r="B38" s="70"/>
      <c r="C38" s="70"/>
      <c r="D38" s="70"/>
      <c r="E38" s="70"/>
      <c r="AF38" s="29"/>
      <c r="AH38" s="29"/>
      <c r="AI38" s="29"/>
      <c r="AS38" s="29"/>
      <c r="AU38" s="29"/>
      <c r="AV38" s="29"/>
      <c r="AX38" s="29"/>
      <c r="BC38" s="29"/>
      <c r="BD38" s="29"/>
    </row>
    <row r="39" ht="45.0" customHeight="1">
      <c r="B39" s="70"/>
      <c r="C39" s="70"/>
      <c r="D39" s="70"/>
      <c r="E39" s="70"/>
      <c r="AF39" s="29"/>
      <c r="AH39" s="29"/>
      <c r="AI39" s="29"/>
      <c r="AS39" s="29"/>
      <c r="AU39" s="29"/>
      <c r="AV39" s="29"/>
      <c r="AX39" s="29"/>
      <c r="BC39" s="29"/>
      <c r="BD39" s="29"/>
    </row>
    <row r="40" ht="45.0" customHeight="1">
      <c r="B40" s="70"/>
      <c r="C40" s="70"/>
      <c r="D40" s="70"/>
      <c r="E40" s="70"/>
      <c r="AF40" s="29"/>
      <c r="AH40" s="29"/>
      <c r="AI40" s="29"/>
      <c r="AS40" s="29"/>
      <c r="AU40" s="29"/>
      <c r="AV40" s="29"/>
      <c r="AX40" s="29"/>
      <c r="BC40" s="29"/>
      <c r="BD40" s="29"/>
    </row>
    <row r="41" ht="45.0" customHeight="1">
      <c r="B41" s="70"/>
      <c r="C41" s="70"/>
      <c r="D41" s="70"/>
      <c r="E41" s="70"/>
      <c r="AF41" s="29"/>
      <c r="AH41" s="29"/>
      <c r="AI41" s="29"/>
      <c r="AS41" s="29"/>
      <c r="AU41" s="29"/>
      <c r="AV41" s="29"/>
      <c r="AX41" s="29"/>
      <c r="BC41" s="29"/>
      <c r="BD41" s="29"/>
    </row>
    <row r="42" ht="45.0" customHeight="1">
      <c r="B42" s="70"/>
      <c r="C42" s="70"/>
      <c r="D42" s="70"/>
      <c r="E42" s="70"/>
      <c r="AF42" s="29"/>
      <c r="AH42" s="29"/>
      <c r="AI42" s="29"/>
      <c r="AS42" s="29"/>
      <c r="AU42" s="29"/>
      <c r="AV42" s="29"/>
      <c r="AX42" s="29"/>
      <c r="BC42" s="29"/>
      <c r="BD42" s="29"/>
    </row>
    <row r="43" ht="45.0" customHeight="1">
      <c r="B43" s="70"/>
      <c r="C43" s="70"/>
      <c r="D43" s="70"/>
      <c r="E43" s="70"/>
      <c r="AF43" s="29"/>
      <c r="AH43" s="29"/>
      <c r="AI43" s="29"/>
      <c r="AS43" s="29"/>
      <c r="AU43" s="29"/>
      <c r="AV43" s="29"/>
      <c r="AX43" s="29"/>
      <c r="BC43" s="29"/>
      <c r="BD43" s="29"/>
    </row>
    <row r="44" ht="45.0" customHeight="1">
      <c r="B44" s="70"/>
      <c r="C44" s="70"/>
      <c r="D44" s="70"/>
      <c r="E44" s="70"/>
      <c r="AF44" s="29"/>
      <c r="AH44" s="29"/>
      <c r="AI44" s="29"/>
      <c r="AS44" s="29"/>
      <c r="AU44" s="29"/>
      <c r="AV44" s="29"/>
      <c r="AX44" s="29"/>
      <c r="BC44" s="29"/>
      <c r="BD44" s="29"/>
    </row>
    <row r="45" ht="45.0" customHeight="1">
      <c r="B45" s="70"/>
      <c r="C45" s="70"/>
      <c r="D45" s="70"/>
      <c r="E45" s="70"/>
      <c r="AF45" s="29"/>
      <c r="AH45" s="29"/>
      <c r="AI45" s="29"/>
      <c r="AS45" s="29"/>
      <c r="AU45" s="29"/>
      <c r="AV45" s="29"/>
      <c r="AX45" s="29"/>
      <c r="BC45" s="29"/>
      <c r="BD45" s="29"/>
    </row>
    <row r="46" ht="45.0" customHeight="1">
      <c r="B46" s="70"/>
      <c r="C46" s="70"/>
      <c r="D46" s="70"/>
      <c r="E46" s="70"/>
      <c r="AF46" s="29"/>
      <c r="AH46" s="29"/>
      <c r="AI46" s="29"/>
      <c r="AS46" s="29"/>
      <c r="AU46" s="29"/>
      <c r="AV46" s="29"/>
      <c r="AX46" s="29"/>
      <c r="BC46" s="29"/>
      <c r="BD46" s="29"/>
    </row>
    <row r="47" ht="45.0" customHeight="1">
      <c r="B47" s="70"/>
      <c r="C47" s="70"/>
      <c r="D47" s="70"/>
      <c r="E47" s="70"/>
      <c r="AF47" s="29"/>
      <c r="AH47" s="29"/>
      <c r="AI47" s="29"/>
      <c r="AS47" s="29"/>
      <c r="AU47" s="29"/>
      <c r="AV47" s="29"/>
      <c r="AX47" s="29"/>
      <c r="BC47" s="29"/>
      <c r="BD47" s="29"/>
    </row>
    <row r="48" ht="45.0" customHeight="1">
      <c r="B48" s="70"/>
      <c r="C48" s="70"/>
      <c r="D48" s="70"/>
      <c r="E48" s="70"/>
      <c r="AF48" s="29"/>
      <c r="AH48" s="29"/>
      <c r="AI48" s="29"/>
      <c r="AS48" s="29"/>
      <c r="AU48" s="29"/>
      <c r="AV48" s="29"/>
      <c r="AX48" s="29"/>
      <c r="BC48" s="29"/>
      <c r="BD48" s="29"/>
    </row>
    <row r="49">
      <c r="B49" s="70"/>
      <c r="C49" s="70"/>
      <c r="D49" s="70"/>
      <c r="E49" s="70"/>
      <c r="AF49" s="29"/>
      <c r="AH49" s="29"/>
      <c r="AI49" s="29"/>
      <c r="AS49" s="29"/>
      <c r="AU49" s="29"/>
      <c r="AV49" s="29"/>
      <c r="AX49" s="29"/>
      <c r="BC49" s="29"/>
      <c r="BD49" s="29"/>
    </row>
    <row r="50">
      <c r="B50" s="70"/>
      <c r="C50" s="70"/>
      <c r="D50" s="70"/>
      <c r="E50" s="70"/>
      <c r="AF50" s="29"/>
      <c r="AH50" s="29"/>
      <c r="AI50" s="29"/>
      <c r="AS50" s="29"/>
      <c r="AU50" s="29"/>
      <c r="AV50" s="29"/>
      <c r="AX50" s="29"/>
      <c r="BC50" s="29"/>
      <c r="BD50" s="29"/>
    </row>
    <row r="51">
      <c r="B51" s="70"/>
      <c r="C51" s="70"/>
      <c r="D51" s="70"/>
      <c r="E51" s="70"/>
      <c r="AF51" s="29"/>
      <c r="AH51" s="29"/>
      <c r="AI51" s="29"/>
      <c r="AS51" s="29"/>
      <c r="AU51" s="29"/>
      <c r="AV51" s="29"/>
      <c r="AX51" s="29"/>
      <c r="BC51" s="29"/>
      <c r="BD51" s="29"/>
    </row>
    <row r="52">
      <c r="B52" s="70"/>
      <c r="C52" s="70"/>
      <c r="D52" s="70"/>
      <c r="E52" s="70"/>
      <c r="AF52" s="29"/>
      <c r="AH52" s="29"/>
      <c r="AI52" s="29"/>
      <c r="AS52" s="29"/>
      <c r="AU52" s="29"/>
      <c r="AV52" s="29"/>
      <c r="AX52" s="29"/>
      <c r="BC52" s="29"/>
      <c r="BD52" s="29"/>
    </row>
    <row r="53">
      <c r="B53" s="70"/>
      <c r="C53" s="70"/>
      <c r="D53" s="70"/>
      <c r="E53" s="70"/>
      <c r="AF53" s="29"/>
      <c r="AH53" s="29"/>
      <c r="AI53" s="29"/>
      <c r="AS53" s="29"/>
      <c r="AU53" s="29"/>
      <c r="AV53" s="29"/>
      <c r="AX53" s="29"/>
      <c r="BC53" s="29"/>
      <c r="BD53" s="29"/>
    </row>
    <row r="54">
      <c r="B54" s="70"/>
      <c r="C54" s="70"/>
      <c r="D54" s="70"/>
      <c r="E54" s="70"/>
      <c r="AF54" s="29"/>
      <c r="AH54" s="29"/>
      <c r="AI54" s="29"/>
      <c r="AS54" s="29"/>
      <c r="AU54" s="29"/>
      <c r="AV54" s="29"/>
      <c r="AX54" s="29"/>
      <c r="BC54" s="29"/>
      <c r="BD54" s="29"/>
    </row>
    <row r="55">
      <c r="B55" s="70"/>
      <c r="C55" s="70"/>
      <c r="D55" s="70"/>
      <c r="E55" s="70"/>
      <c r="AF55" s="29"/>
      <c r="AH55" s="29"/>
      <c r="AI55" s="29"/>
      <c r="AS55" s="29"/>
      <c r="AU55" s="29"/>
      <c r="AV55" s="29"/>
      <c r="AX55" s="29"/>
      <c r="BC55" s="29"/>
      <c r="BD55" s="29"/>
    </row>
    <row r="56">
      <c r="B56" s="70"/>
      <c r="C56" s="70"/>
      <c r="D56" s="70"/>
      <c r="E56" s="70"/>
      <c r="AF56" s="29"/>
      <c r="AH56" s="29"/>
      <c r="AI56" s="29"/>
      <c r="AS56" s="29"/>
      <c r="AU56" s="29"/>
      <c r="AV56" s="29"/>
      <c r="AX56" s="29"/>
      <c r="BC56" s="29"/>
      <c r="BD56" s="29"/>
    </row>
    <row r="57">
      <c r="B57" s="70"/>
      <c r="C57" s="70"/>
      <c r="D57" s="70"/>
      <c r="E57" s="70"/>
      <c r="AF57" s="29"/>
      <c r="AH57" s="29"/>
      <c r="AI57" s="29"/>
      <c r="AS57" s="29"/>
      <c r="AU57" s="29"/>
      <c r="AV57" s="29"/>
      <c r="AX57" s="29"/>
      <c r="BC57" s="29"/>
      <c r="BD57" s="29"/>
    </row>
    <row r="58">
      <c r="B58" s="70"/>
      <c r="C58" s="70"/>
      <c r="D58" s="70"/>
      <c r="E58" s="70"/>
      <c r="AF58" s="29"/>
      <c r="AH58" s="29"/>
      <c r="AI58" s="29"/>
      <c r="AS58" s="29"/>
      <c r="AU58" s="29"/>
      <c r="AV58" s="29"/>
      <c r="AX58" s="29"/>
      <c r="BC58" s="29"/>
      <c r="BD58" s="29"/>
    </row>
    <row r="59">
      <c r="B59" s="70"/>
      <c r="C59" s="70"/>
      <c r="D59" s="70"/>
      <c r="E59" s="70"/>
      <c r="AF59" s="29"/>
      <c r="AH59" s="29"/>
      <c r="AI59" s="29"/>
      <c r="AS59" s="29"/>
      <c r="AU59" s="29"/>
      <c r="AV59" s="29"/>
      <c r="AX59" s="29"/>
      <c r="BC59" s="29"/>
      <c r="BD59" s="29"/>
    </row>
    <row r="60">
      <c r="B60" s="70"/>
      <c r="C60" s="70"/>
      <c r="D60" s="70"/>
      <c r="E60" s="70"/>
      <c r="AF60" s="29"/>
      <c r="AH60" s="29"/>
      <c r="AI60" s="29"/>
      <c r="AS60" s="29"/>
      <c r="AU60" s="29"/>
      <c r="AV60" s="29"/>
      <c r="AX60" s="29"/>
      <c r="BC60" s="29"/>
      <c r="BD60" s="29"/>
    </row>
    <row r="61">
      <c r="B61" s="70"/>
      <c r="C61" s="70"/>
      <c r="D61" s="70"/>
      <c r="E61" s="70"/>
      <c r="AF61" s="29"/>
      <c r="AH61" s="29"/>
      <c r="AI61" s="29"/>
      <c r="AS61" s="29"/>
      <c r="AU61" s="29"/>
      <c r="AV61" s="29"/>
      <c r="AX61" s="29"/>
      <c r="BC61" s="29"/>
      <c r="BD61" s="29"/>
    </row>
    <row r="62">
      <c r="B62" s="70"/>
      <c r="C62" s="70"/>
      <c r="D62" s="70"/>
      <c r="E62" s="70"/>
      <c r="AF62" s="29"/>
      <c r="AH62" s="29"/>
      <c r="AI62" s="29"/>
      <c r="AS62" s="29"/>
      <c r="AU62" s="29"/>
      <c r="AV62" s="29"/>
      <c r="AX62" s="29"/>
      <c r="BC62" s="29"/>
      <c r="BD62" s="29"/>
    </row>
    <row r="63">
      <c r="B63" s="70"/>
      <c r="C63" s="70"/>
      <c r="D63" s="70"/>
      <c r="E63" s="70"/>
      <c r="AF63" s="29"/>
      <c r="AH63" s="29"/>
      <c r="AI63" s="29"/>
      <c r="AS63" s="29"/>
      <c r="AU63" s="29"/>
      <c r="AV63" s="29"/>
      <c r="AX63" s="29"/>
      <c r="BC63" s="29"/>
      <c r="BD63" s="29"/>
    </row>
    <row r="64">
      <c r="B64" s="70"/>
      <c r="C64" s="70"/>
      <c r="D64" s="70"/>
      <c r="E64" s="70"/>
      <c r="AF64" s="29"/>
      <c r="AH64" s="29"/>
      <c r="AI64" s="29"/>
      <c r="AS64" s="29"/>
      <c r="AU64" s="29"/>
      <c r="AV64" s="29"/>
      <c r="AX64" s="29"/>
      <c r="BC64" s="29"/>
      <c r="BD64" s="29"/>
    </row>
    <row r="65">
      <c r="B65" s="70"/>
      <c r="C65" s="70"/>
      <c r="D65" s="70"/>
      <c r="E65" s="70"/>
      <c r="AF65" s="29"/>
      <c r="AH65" s="29"/>
      <c r="AI65" s="29"/>
      <c r="AS65" s="29"/>
      <c r="AU65" s="29"/>
      <c r="AV65" s="29"/>
      <c r="AX65" s="29"/>
      <c r="BC65" s="29"/>
      <c r="BD65" s="29"/>
    </row>
    <row r="66">
      <c r="B66" s="70"/>
      <c r="C66" s="70"/>
      <c r="D66" s="70"/>
      <c r="E66" s="70"/>
      <c r="AF66" s="29"/>
      <c r="AH66" s="29"/>
      <c r="AI66" s="29"/>
      <c r="AS66" s="29"/>
      <c r="AU66" s="29"/>
      <c r="AV66" s="29"/>
      <c r="AX66" s="29"/>
      <c r="BC66" s="29"/>
      <c r="BD66" s="29"/>
    </row>
    <row r="67">
      <c r="B67" s="70"/>
      <c r="C67" s="70"/>
      <c r="D67" s="70"/>
      <c r="E67" s="70"/>
      <c r="AF67" s="29"/>
      <c r="AH67" s="29"/>
      <c r="AI67" s="29"/>
      <c r="AS67" s="29"/>
      <c r="AU67" s="29"/>
      <c r="AV67" s="29"/>
      <c r="AX67" s="29"/>
      <c r="BC67" s="29"/>
      <c r="BD67" s="29"/>
    </row>
    <row r="68">
      <c r="B68" s="70"/>
      <c r="C68" s="70"/>
      <c r="D68" s="70"/>
      <c r="E68" s="70"/>
      <c r="AF68" s="29"/>
      <c r="AH68" s="29"/>
      <c r="AI68" s="29"/>
      <c r="AS68" s="29"/>
      <c r="AU68" s="29"/>
      <c r="AV68" s="29"/>
      <c r="AX68" s="29"/>
      <c r="BC68" s="29"/>
      <c r="BD68" s="29"/>
    </row>
    <row r="69">
      <c r="B69" s="70"/>
      <c r="C69" s="70"/>
      <c r="D69" s="70"/>
      <c r="E69" s="70"/>
      <c r="AF69" s="29"/>
      <c r="AH69" s="29"/>
      <c r="AI69" s="29"/>
      <c r="AS69" s="29"/>
      <c r="AU69" s="29"/>
      <c r="AV69" s="29"/>
      <c r="AX69" s="29"/>
      <c r="BC69" s="29"/>
      <c r="BD69" s="29"/>
    </row>
    <row r="70">
      <c r="B70" s="70"/>
      <c r="C70" s="70"/>
      <c r="D70" s="70"/>
      <c r="E70" s="70"/>
      <c r="AF70" s="29"/>
      <c r="AH70" s="29"/>
      <c r="AI70" s="29"/>
      <c r="AS70" s="29"/>
      <c r="AU70" s="29"/>
      <c r="AV70" s="29"/>
      <c r="AX70" s="29"/>
      <c r="BC70" s="29"/>
      <c r="BD70" s="29"/>
    </row>
    <row r="71">
      <c r="B71" s="70"/>
      <c r="C71" s="70"/>
      <c r="D71" s="70"/>
      <c r="E71" s="70"/>
      <c r="AF71" s="29"/>
      <c r="AH71" s="29"/>
      <c r="AI71" s="29"/>
      <c r="AS71" s="29"/>
      <c r="AU71" s="29"/>
      <c r="AV71" s="29"/>
      <c r="AX71" s="29"/>
      <c r="BC71" s="29"/>
      <c r="BD71" s="29"/>
    </row>
    <row r="72">
      <c r="B72" s="70"/>
      <c r="C72" s="70"/>
      <c r="D72" s="70"/>
      <c r="E72" s="70"/>
      <c r="AF72" s="29"/>
      <c r="AH72" s="29"/>
      <c r="AI72" s="29"/>
      <c r="AS72" s="29"/>
      <c r="AU72" s="29"/>
      <c r="AV72" s="29"/>
      <c r="AX72" s="29"/>
      <c r="BC72" s="29"/>
      <c r="BD72" s="29"/>
    </row>
    <row r="73">
      <c r="B73" s="70"/>
      <c r="C73" s="70"/>
      <c r="D73" s="70"/>
      <c r="E73" s="70"/>
      <c r="AF73" s="29"/>
      <c r="AH73" s="29"/>
      <c r="AI73" s="29"/>
      <c r="AS73" s="29"/>
      <c r="AU73" s="29"/>
      <c r="AV73" s="29"/>
      <c r="AX73" s="29"/>
      <c r="BC73" s="29"/>
      <c r="BD73" s="29"/>
    </row>
    <row r="74">
      <c r="B74" s="70"/>
      <c r="C74" s="70"/>
      <c r="D74" s="70"/>
      <c r="E74" s="70"/>
      <c r="AF74" s="29"/>
      <c r="AH74" s="29"/>
      <c r="AI74" s="29"/>
      <c r="AS74" s="29"/>
      <c r="AU74" s="29"/>
      <c r="AV74" s="29"/>
      <c r="AX74" s="29"/>
      <c r="BC74" s="29"/>
      <c r="BD74" s="29"/>
    </row>
    <row r="75">
      <c r="B75" s="70"/>
      <c r="C75" s="70"/>
      <c r="D75" s="70"/>
      <c r="E75" s="70"/>
      <c r="AF75" s="29"/>
      <c r="AH75" s="29"/>
      <c r="AI75" s="29"/>
      <c r="AS75" s="29"/>
      <c r="AU75" s="29"/>
      <c r="AV75" s="29"/>
      <c r="AX75" s="29"/>
      <c r="BC75" s="29"/>
      <c r="BD75" s="29"/>
    </row>
    <row r="76">
      <c r="B76" s="70"/>
      <c r="C76" s="70"/>
      <c r="D76" s="70"/>
      <c r="E76" s="70"/>
      <c r="AF76" s="29"/>
      <c r="AH76" s="29"/>
      <c r="AI76" s="29"/>
      <c r="AS76" s="29"/>
      <c r="AU76" s="29"/>
      <c r="AV76" s="29"/>
      <c r="AX76" s="29"/>
      <c r="BC76" s="29"/>
      <c r="BD76" s="29"/>
    </row>
    <row r="77">
      <c r="B77" s="70"/>
      <c r="C77" s="70"/>
      <c r="D77" s="70"/>
      <c r="E77" s="70"/>
      <c r="AF77" s="29"/>
      <c r="AH77" s="29"/>
      <c r="AI77" s="29"/>
      <c r="AS77" s="29"/>
      <c r="AU77" s="29"/>
      <c r="AV77" s="29"/>
      <c r="AX77" s="29"/>
      <c r="BC77" s="29"/>
      <c r="BD77" s="29"/>
    </row>
    <row r="78">
      <c r="B78" s="70"/>
      <c r="C78" s="70"/>
      <c r="D78" s="70"/>
      <c r="E78" s="70"/>
      <c r="AF78" s="29"/>
      <c r="AH78" s="29"/>
      <c r="AI78" s="29"/>
      <c r="AS78" s="29"/>
      <c r="AU78" s="29"/>
      <c r="AV78" s="29"/>
      <c r="AX78" s="29"/>
      <c r="BC78" s="29"/>
      <c r="BD78" s="29"/>
    </row>
    <row r="79">
      <c r="B79" s="70"/>
      <c r="C79" s="70"/>
      <c r="D79" s="70"/>
      <c r="E79" s="70"/>
      <c r="AF79" s="29"/>
      <c r="AH79" s="29"/>
      <c r="AI79" s="29"/>
      <c r="AS79" s="29"/>
      <c r="AU79" s="29"/>
      <c r="AV79" s="29"/>
      <c r="AX79" s="29"/>
      <c r="BC79" s="29"/>
      <c r="BD79" s="29"/>
    </row>
    <row r="80">
      <c r="B80" s="70"/>
      <c r="C80" s="70"/>
      <c r="D80" s="70"/>
      <c r="E80" s="70"/>
      <c r="AF80" s="29"/>
      <c r="AH80" s="29"/>
      <c r="AI80" s="29"/>
      <c r="AS80" s="29"/>
      <c r="AU80" s="29"/>
      <c r="AV80" s="29"/>
      <c r="AX80" s="29"/>
      <c r="BC80" s="29"/>
      <c r="BD80" s="29"/>
    </row>
    <row r="81">
      <c r="B81" s="70"/>
      <c r="C81" s="70"/>
      <c r="D81" s="70"/>
      <c r="E81" s="70"/>
      <c r="AF81" s="29"/>
      <c r="AH81" s="29"/>
      <c r="AI81" s="29"/>
      <c r="AS81" s="29"/>
      <c r="AU81" s="29"/>
      <c r="AV81" s="29"/>
      <c r="AX81" s="29"/>
      <c r="BC81" s="29"/>
      <c r="BD81" s="29"/>
    </row>
    <row r="82">
      <c r="B82" s="70"/>
      <c r="C82" s="70"/>
      <c r="D82" s="70"/>
      <c r="E82" s="70"/>
      <c r="AF82" s="29"/>
      <c r="AH82" s="29"/>
      <c r="AI82" s="29"/>
      <c r="AS82" s="29"/>
      <c r="AU82" s="29"/>
      <c r="AV82" s="29"/>
      <c r="AX82" s="29"/>
      <c r="BC82" s="29"/>
      <c r="BD82" s="29"/>
    </row>
    <row r="83">
      <c r="B83" s="70"/>
      <c r="C83" s="70"/>
      <c r="D83" s="70"/>
      <c r="E83" s="70"/>
      <c r="AF83" s="29"/>
      <c r="AH83" s="29"/>
      <c r="AI83" s="29"/>
      <c r="AS83" s="29"/>
      <c r="AU83" s="29"/>
      <c r="AV83" s="29"/>
      <c r="AX83" s="29"/>
      <c r="BC83" s="29"/>
      <c r="BD83" s="29"/>
    </row>
    <row r="84">
      <c r="B84" s="70"/>
      <c r="C84" s="70"/>
      <c r="D84" s="70"/>
      <c r="E84" s="70"/>
      <c r="AF84" s="29"/>
      <c r="AH84" s="29"/>
      <c r="AI84" s="29"/>
      <c r="AS84" s="29"/>
      <c r="AU84" s="29"/>
      <c r="AV84" s="29"/>
      <c r="AX84" s="29"/>
      <c r="BC84" s="29"/>
      <c r="BD84" s="29"/>
    </row>
    <row r="85">
      <c r="B85" s="70"/>
      <c r="C85" s="70"/>
      <c r="D85" s="70"/>
      <c r="E85" s="70"/>
      <c r="AF85" s="29"/>
      <c r="AH85" s="29"/>
      <c r="AI85" s="29"/>
      <c r="AS85" s="29"/>
      <c r="AU85" s="29"/>
      <c r="AV85" s="29"/>
      <c r="AX85" s="29"/>
      <c r="BC85" s="29"/>
      <c r="BD85" s="29"/>
    </row>
    <row r="86">
      <c r="B86" s="70"/>
      <c r="C86" s="70"/>
      <c r="D86" s="70"/>
      <c r="E86" s="70"/>
      <c r="AF86" s="29"/>
      <c r="AH86" s="29"/>
      <c r="AI86" s="29"/>
      <c r="AS86" s="29"/>
      <c r="AU86" s="29"/>
      <c r="AV86" s="29"/>
      <c r="AX86" s="29"/>
      <c r="BC86" s="29"/>
      <c r="BD86" s="29"/>
    </row>
    <row r="87">
      <c r="B87" s="70"/>
      <c r="C87" s="70"/>
      <c r="D87" s="70"/>
      <c r="E87" s="70"/>
      <c r="AF87" s="29"/>
      <c r="AH87" s="29"/>
      <c r="AI87" s="29"/>
      <c r="AS87" s="29"/>
      <c r="AU87" s="29"/>
      <c r="AV87" s="29"/>
      <c r="AX87" s="29"/>
      <c r="BC87" s="29"/>
      <c r="BD87" s="29"/>
    </row>
    <row r="88">
      <c r="B88" s="70"/>
      <c r="C88" s="70"/>
      <c r="D88" s="70"/>
      <c r="E88" s="70"/>
      <c r="AF88" s="29"/>
      <c r="AH88" s="29"/>
      <c r="AI88" s="29"/>
      <c r="AS88" s="29"/>
      <c r="AU88" s="29"/>
      <c r="AV88" s="29"/>
      <c r="AX88" s="29"/>
      <c r="BC88" s="29"/>
      <c r="BD88" s="29"/>
    </row>
    <row r="89">
      <c r="B89" s="70"/>
      <c r="C89" s="70"/>
      <c r="D89" s="70"/>
      <c r="E89" s="70"/>
      <c r="AF89" s="29"/>
      <c r="AH89" s="29"/>
      <c r="AI89" s="29"/>
      <c r="AS89" s="29"/>
      <c r="AU89" s="29"/>
      <c r="AV89" s="29"/>
      <c r="AX89" s="29"/>
      <c r="BC89" s="29"/>
      <c r="BD89" s="29"/>
    </row>
    <row r="90">
      <c r="B90" s="70"/>
      <c r="C90" s="70"/>
      <c r="D90" s="70"/>
      <c r="E90" s="70"/>
      <c r="AF90" s="29"/>
      <c r="AH90" s="29"/>
      <c r="AI90" s="29"/>
      <c r="AS90" s="29"/>
      <c r="AU90" s="29"/>
      <c r="AV90" s="29"/>
      <c r="AX90" s="29"/>
      <c r="BC90" s="29"/>
      <c r="BD90" s="29"/>
    </row>
    <row r="91">
      <c r="B91" s="70"/>
      <c r="C91" s="70"/>
      <c r="D91" s="70"/>
      <c r="E91" s="70"/>
      <c r="AF91" s="29"/>
      <c r="AH91" s="29"/>
      <c r="AI91" s="29"/>
      <c r="AS91" s="29"/>
      <c r="AU91" s="29"/>
      <c r="AV91" s="29"/>
      <c r="AX91" s="29"/>
      <c r="BC91" s="29"/>
      <c r="BD91" s="29"/>
    </row>
    <row r="92">
      <c r="B92" s="70"/>
      <c r="C92" s="70"/>
      <c r="D92" s="70"/>
      <c r="E92" s="70"/>
      <c r="AF92" s="29"/>
      <c r="AH92" s="29"/>
      <c r="AI92" s="29"/>
      <c r="AS92" s="29"/>
      <c r="AU92" s="29"/>
      <c r="AV92" s="29"/>
      <c r="AX92" s="29"/>
      <c r="BC92" s="29"/>
      <c r="BD92" s="29"/>
    </row>
    <row r="93">
      <c r="B93" s="70"/>
      <c r="C93" s="70"/>
      <c r="D93" s="70"/>
      <c r="E93" s="70"/>
      <c r="AF93" s="29"/>
      <c r="AH93" s="29"/>
      <c r="AI93" s="29"/>
      <c r="AS93" s="29"/>
      <c r="AU93" s="29"/>
      <c r="AV93" s="29"/>
      <c r="AX93" s="29"/>
      <c r="BC93" s="29"/>
      <c r="BD93" s="29"/>
    </row>
    <row r="94">
      <c r="B94" s="70"/>
      <c r="C94" s="70"/>
      <c r="D94" s="70"/>
      <c r="E94" s="70"/>
      <c r="AF94" s="29"/>
      <c r="AH94" s="29"/>
      <c r="AI94" s="29"/>
      <c r="AS94" s="29"/>
      <c r="AU94" s="29"/>
      <c r="AV94" s="29"/>
      <c r="AX94" s="29"/>
      <c r="BC94" s="29"/>
      <c r="BD94" s="29"/>
    </row>
    <row r="95">
      <c r="B95" s="70"/>
      <c r="C95" s="70"/>
      <c r="D95" s="70"/>
      <c r="E95" s="70"/>
      <c r="AF95" s="29"/>
      <c r="AH95" s="29"/>
      <c r="AI95" s="29"/>
      <c r="AS95" s="29"/>
      <c r="AU95" s="29"/>
      <c r="AV95" s="29"/>
      <c r="AX95" s="29"/>
      <c r="BC95" s="29"/>
      <c r="BD95" s="29"/>
    </row>
    <row r="96">
      <c r="B96" s="70"/>
      <c r="C96" s="70"/>
      <c r="D96" s="70"/>
      <c r="E96" s="70"/>
      <c r="AF96" s="29"/>
      <c r="AH96" s="29"/>
      <c r="AI96" s="29"/>
      <c r="AS96" s="29"/>
      <c r="AU96" s="29"/>
      <c r="AV96" s="29"/>
      <c r="AX96" s="29"/>
      <c r="BC96" s="29"/>
      <c r="BD96" s="29"/>
    </row>
    <row r="97">
      <c r="B97" s="70"/>
      <c r="C97" s="70"/>
      <c r="D97" s="70"/>
      <c r="E97" s="70"/>
      <c r="AF97" s="29"/>
      <c r="AH97" s="29"/>
      <c r="AI97" s="29"/>
      <c r="AS97" s="29"/>
      <c r="AU97" s="29"/>
      <c r="AV97" s="29"/>
      <c r="AX97" s="29"/>
      <c r="BC97" s="29"/>
      <c r="BD97" s="29"/>
    </row>
    <row r="98">
      <c r="B98" s="70"/>
      <c r="C98" s="70"/>
      <c r="D98" s="70"/>
      <c r="E98" s="70"/>
      <c r="AF98" s="29"/>
      <c r="AH98" s="29"/>
      <c r="AI98" s="29"/>
      <c r="AS98" s="29"/>
      <c r="AU98" s="29"/>
      <c r="AV98" s="29"/>
      <c r="AX98" s="29"/>
      <c r="BC98" s="29"/>
      <c r="BD98" s="29"/>
    </row>
    <row r="99">
      <c r="B99" s="70"/>
      <c r="C99" s="70"/>
      <c r="D99" s="70"/>
      <c r="E99" s="70"/>
      <c r="AF99" s="29"/>
      <c r="AH99" s="29"/>
      <c r="AI99" s="29"/>
      <c r="AS99" s="29"/>
      <c r="AU99" s="29"/>
      <c r="AV99" s="29"/>
      <c r="AX99" s="29"/>
      <c r="BC99" s="29"/>
      <c r="BD99" s="29"/>
    </row>
    <row r="100">
      <c r="B100" s="70"/>
      <c r="C100" s="70"/>
      <c r="D100" s="70"/>
      <c r="E100" s="70"/>
      <c r="AF100" s="29"/>
      <c r="AH100" s="29"/>
      <c r="AI100" s="29"/>
      <c r="AS100" s="29"/>
      <c r="AU100" s="29"/>
      <c r="AV100" s="29"/>
      <c r="AX100" s="29"/>
      <c r="BC100" s="29"/>
      <c r="BD100" s="29"/>
    </row>
    <row r="101">
      <c r="B101" s="70"/>
      <c r="C101" s="70"/>
      <c r="D101" s="70"/>
      <c r="E101" s="70"/>
      <c r="AF101" s="29"/>
      <c r="AH101" s="29"/>
      <c r="AI101" s="29"/>
      <c r="AS101" s="29"/>
      <c r="AU101" s="29"/>
      <c r="AV101" s="29"/>
      <c r="AX101" s="29"/>
      <c r="BC101" s="29"/>
      <c r="BD101" s="29"/>
    </row>
    <row r="102">
      <c r="B102" s="70"/>
      <c r="C102" s="70"/>
      <c r="D102" s="70"/>
      <c r="E102" s="70"/>
      <c r="AF102" s="29"/>
      <c r="AH102" s="29"/>
      <c r="AI102" s="29"/>
      <c r="AS102" s="29"/>
      <c r="AU102" s="29"/>
      <c r="AV102" s="29"/>
      <c r="AX102" s="29"/>
      <c r="BC102" s="29"/>
      <c r="BD102" s="29"/>
    </row>
    <row r="103">
      <c r="B103" s="70"/>
      <c r="C103" s="70"/>
      <c r="D103" s="70"/>
      <c r="E103" s="70"/>
      <c r="AF103" s="29"/>
      <c r="AH103" s="29"/>
      <c r="AI103" s="29"/>
      <c r="AS103" s="29"/>
      <c r="AU103" s="29"/>
      <c r="AV103" s="29"/>
      <c r="AX103" s="29"/>
      <c r="BC103" s="29"/>
      <c r="BD103" s="29"/>
    </row>
    <row r="104">
      <c r="B104" s="70"/>
      <c r="C104" s="70"/>
      <c r="D104" s="70"/>
      <c r="E104" s="70"/>
      <c r="AF104" s="29"/>
      <c r="AH104" s="29"/>
      <c r="AI104" s="29"/>
      <c r="AS104" s="29"/>
      <c r="AU104" s="29"/>
      <c r="AV104" s="29"/>
      <c r="AX104" s="29"/>
      <c r="BC104" s="29"/>
      <c r="BD104" s="29"/>
    </row>
    <row r="105">
      <c r="B105" s="70"/>
      <c r="C105" s="70"/>
      <c r="D105" s="70"/>
      <c r="E105" s="70"/>
      <c r="AF105" s="29"/>
      <c r="AH105" s="29"/>
      <c r="AI105" s="29"/>
      <c r="AS105" s="29"/>
      <c r="AU105" s="29"/>
      <c r="AV105" s="29"/>
      <c r="AX105" s="29"/>
      <c r="BC105" s="29"/>
      <c r="BD105" s="29"/>
    </row>
    <row r="106">
      <c r="B106" s="70"/>
      <c r="C106" s="70"/>
      <c r="D106" s="70"/>
      <c r="E106" s="70"/>
      <c r="AF106" s="29"/>
      <c r="AH106" s="29"/>
      <c r="AI106" s="29"/>
      <c r="AS106" s="29"/>
      <c r="AU106" s="29"/>
      <c r="AV106" s="29"/>
      <c r="AX106" s="29"/>
      <c r="BC106" s="29"/>
      <c r="BD106" s="29"/>
    </row>
    <row r="107">
      <c r="B107" s="70"/>
      <c r="C107" s="70"/>
      <c r="D107" s="70"/>
      <c r="E107" s="70"/>
      <c r="AF107" s="29"/>
      <c r="AH107" s="29"/>
      <c r="AI107" s="29"/>
      <c r="AS107" s="29"/>
      <c r="AU107" s="29"/>
      <c r="AV107" s="29"/>
      <c r="AX107" s="29"/>
      <c r="BC107" s="29"/>
      <c r="BD107" s="29"/>
    </row>
    <row r="108">
      <c r="B108" s="70"/>
      <c r="C108" s="70"/>
      <c r="D108" s="70"/>
      <c r="E108" s="70"/>
      <c r="AF108" s="29"/>
      <c r="AH108" s="29"/>
      <c r="AI108" s="29"/>
      <c r="AS108" s="29"/>
      <c r="AU108" s="29"/>
      <c r="AV108" s="29"/>
      <c r="AX108" s="29"/>
      <c r="BC108" s="29"/>
      <c r="BD108" s="29"/>
    </row>
    <row r="109">
      <c r="B109" s="70"/>
      <c r="C109" s="70"/>
      <c r="D109" s="70"/>
      <c r="E109" s="70"/>
      <c r="AF109" s="29"/>
      <c r="AH109" s="29"/>
      <c r="AI109" s="29"/>
      <c r="AS109" s="29"/>
      <c r="AU109" s="29"/>
      <c r="AV109" s="29"/>
      <c r="AX109" s="29"/>
      <c r="BC109" s="29"/>
      <c r="BD109" s="29"/>
    </row>
    <row r="110">
      <c r="B110" s="70"/>
      <c r="C110" s="70"/>
      <c r="D110" s="70"/>
      <c r="E110" s="70"/>
      <c r="AF110" s="29"/>
      <c r="AH110" s="29"/>
      <c r="AI110" s="29"/>
      <c r="AS110" s="29"/>
      <c r="AU110" s="29"/>
      <c r="AV110" s="29"/>
      <c r="AX110" s="29"/>
      <c r="BC110" s="29"/>
      <c r="BD110" s="29"/>
    </row>
    <row r="111">
      <c r="B111" s="70"/>
      <c r="C111" s="70"/>
      <c r="D111" s="70"/>
      <c r="E111" s="70"/>
      <c r="AF111" s="29"/>
      <c r="AH111" s="29"/>
      <c r="AI111" s="29"/>
      <c r="AS111" s="29"/>
      <c r="AU111" s="29"/>
      <c r="AV111" s="29"/>
      <c r="AX111" s="29"/>
      <c r="BC111" s="29"/>
      <c r="BD111" s="29"/>
    </row>
    <row r="112">
      <c r="B112" s="70"/>
      <c r="C112" s="70"/>
      <c r="D112" s="70"/>
      <c r="E112" s="70"/>
      <c r="AF112" s="29"/>
      <c r="AH112" s="29"/>
      <c r="AI112" s="29"/>
      <c r="AS112" s="29"/>
      <c r="AU112" s="29"/>
      <c r="AV112" s="29"/>
      <c r="AX112" s="29"/>
      <c r="BC112" s="29"/>
      <c r="BD112" s="29"/>
    </row>
    <row r="113">
      <c r="B113" s="70"/>
      <c r="C113" s="70"/>
      <c r="D113" s="70"/>
      <c r="E113" s="70"/>
      <c r="AF113" s="29"/>
      <c r="AH113" s="29"/>
      <c r="AI113" s="29"/>
      <c r="AS113" s="29"/>
      <c r="AU113" s="29"/>
      <c r="AV113" s="29"/>
      <c r="AX113" s="29"/>
      <c r="BC113" s="29"/>
      <c r="BD113" s="29"/>
    </row>
    <row r="114">
      <c r="B114" s="70"/>
      <c r="C114" s="70"/>
      <c r="D114" s="70"/>
      <c r="E114" s="70"/>
      <c r="AF114" s="29"/>
      <c r="AH114" s="29"/>
      <c r="AI114" s="29"/>
      <c r="AS114" s="29"/>
      <c r="AU114" s="29"/>
      <c r="AV114" s="29"/>
      <c r="AX114" s="29"/>
      <c r="BC114" s="29"/>
      <c r="BD114" s="29"/>
    </row>
    <row r="115">
      <c r="B115" s="70"/>
      <c r="C115" s="70"/>
      <c r="D115" s="70"/>
      <c r="E115" s="70"/>
      <c r="AF115" s="29"/>
      <c r="AH115" s="29"/>
      <c r="AI115" s="29"/>
      <c r="AS115" s="29"/>
      <c r="AU115" s="29"/>
      <c r="AV115" s="29"/>
      <c r="AX115" s="29"/>
      <c r="BC115" s="29"/>
      <c r="BD115" s="29"/>
    </row>
    <row r="116">
      <c r="B116" s="70"/>
      <c r="C116" s="70"/>
      <c r="D116" s="70"/>
      <c r="E116" s="70"/>
      <c r="AF116" s="29"/>
      <c r="AH116" s="29"/>
      <c r="AI116" s="29"/>
      <c r="AS116" s="29"/>
      <c r="AU116" s="29"/>
      <c r="AV116" s="29"/>
      <c r="AX116" s="29"/>
      <c r="BC116" s="29"/>
      <c r="BD116" s="29"/>
    </row>
    <row r="117">
      <c r="B117" s="70"/>
      <c r="C117" s="70"/>
      <c r="D117" s="70"/>
      <c r="E117" s="70"/>
      <c r="AF117" s="29"/>
      <c r="AH117" s="29"/>
      <c r="AI117" s="29"/>
      <c r="AS117" s="29"/>
      <c r="AU117" s="29"/>
      <c r="AV117" s="29"/>
      <c r="AX117" s="29"/>
      <c r="BC117" s="29"/>
      <c r="BD117" s="29"/>
    </row>
    <row r="118">
      <c r="B118" s="70"/>
      <c r="C118" s="70"/>
      <c r="D118" s="70"/>
      <c r="E118" s="70"/>
      <c r="AF118" s="29"/>
      <c r="AH118" s="29"/>
      <c r="AI118" s="29"/>
      <c r="AS118" s="29"/>
      <c r="AU118" s="29"/>
      <c r="AV118" s="29"/>
      <c r="AX118" s="29"/>
      <c r="BC118" s="29"/>
      <c r="BD118" s="29"/>
    </row>
    <row r="119">
      <c r="B119" s="70"/>
      <c r="C119" s="70"/>
      <c r="D119" s="70"/>
      <c r="E119" s="70"/>
      <c r="AF119" s="29"/>
      <c r="AH119" s="29"/>
      <c r="AI119" s="29"/>
      <c r="AS119" s="29"/>
      <c r="AU119" s="29"/>
      <c r="AV119" s="29"/>
      <c r="AX119" s="29"/>
      <c r="BC119" s="29"/>
      <c r="BD119" s="29"/>
    </row>
    <row r="120">
      <c r="B120" s="70"/>
      <c r="C120" s="70"/>
      <c r="D120" s="70"/>
      <c r="E120" s="70"/>
      <c r="AF120" s="29"/>
      <c r="AH120" s="29"/>
      <c r="AI120" s="29"/>
      <c r="AS120" s="29"/>
      <c r="AU120" s="29"/>
      <c r="AV120" s="29"/>
      <c r="AX120" s="29"/>
      <c r="BC120" s="29"/>
      <c r="BD120" s="29"/>
    </row>
    <row r="121">
      <c r="B121" s="70"/>
      <c r="C121" s="70"/>
      <c r="D121" s="70"/>
      <c r="E121" s="70"/>
      <c r="AF121" s="29"/>
      <c r="AH121" s="29"/>
      <c r="AI121" s="29"/>
      <c r="AS121" s="29"/>
      <c r="AU121" s="29"/>
      <c r="AV121" s="29"/>
      <c r="AX121" s="29"/>
      <c r="BC121" s="29"/>
      <c r="BD121" s="29"/>
    </row>
    <row r="122">
      <c r="B122" s="70"/>
      <c r="C122" s="70"/>
      <c r="D122" s="70"/>
      <c r="E122" s="70"/>
      <c r="AF122" s="29"/>
      <c r="AH122" s="29"/>
      <c r="AI122" s="29"/>
      <c r="AS122" s="29"/>
      <c r="AU122" s="29"/>
      <c r="AV122" s="29"/>
      <c r="AX122" s="29"/>
      <c r="BC122" s="29"/>
      <c r="BD122" s="29"/>
    </row>
    <row r="123">
      <c r="B123" s="70"/>
      <c r="C123" s="70"/>
      <c r="D123" s="70"/>
      <c r="E123" s="70"/>
      <c r="AF123" s="29"/>
      <c r="AH123" s="29"/>
      <c r="AI123" s="29"/>
      <c r="AS123" s="29"/>
      <c r="AU123" s="29"/>
      <c r="AV123" s="29"/>
      <c r="AX123" s="29"/>
      <c r="BC123" s="29"/>
      <c r="BD123" s="29"/>
    </row>
    <row r="124">
      <c r="B124" s="70"/>
      <c r="C124" s="70"/>
      <c r="D124" s="70"/>
      <c r="E124" s="70"/>
      <c r="AF124" s="29"/>
      <c r="AH124" s="29"/>
      <c r="AI124" s="29"/>
      <c r="AS124" s="29"/>
      <c r="AU124" s="29"/>
      <c r="AV124" s="29"/>
      <c r="AX124" s="29"/>
      <c r="BC124" s="29"/>
      <c r="BD124" s="29"/>
    </row>
    <row r="125">
      <c r="B125" s="70"/>
      <c r="C125" s="70"/>
      <c r="D125" s="70"/>
      <c r="E125" s="70"/>
      <c r="AF125" s="29"/>
      <c r="AH125" s="29"/>
      <c r="AI125" s="29"/>
      <c r="AS125" s="29"/>
      <c r="AU125" s="29"/>
      <c r="AV125" s="29"/>
      <c r="AX125" s="29"/>
      <c r="BC125" s="29"/>
      <c r="BD125" s="29"/>
    </row>
    <row r="126">
      <c r="B126" s="70"/>
      <c r="C126" s="70"/>
      <c r="D126" s="70"/>
      <c r="E126" s="70"/>
      <c r="AF126" s="29"/>
      <c r="AH126" s="29"/>
      <c r="AI126" s="29"/>
      <c r="AS126" s="29"/>
      <c r="AU126" s="29"/>
      <c r="AV126" s="29"/>
      <c r="AX126" s="29"/>
      <c r="BC126" s="29"/>
      <c r="BD126" s="29"/>
    </row>
    <row r="127">
      <c r="B127" s="70"/>
      <c r="C127" s="70"/>
      <c r="D127" s="70"/>
      <c r="E127" s="70"/>
      <c r="AF127" s="29"/>
      <c r="AH127" s="29"/>
      <c r="AI127" s="29"/>
      <c r="AS127" s="29"/>
      <c r="AU127" s="29"/>
      <c r="AV127" s="29"/>
      <c r="AX127" s="29"/>
      <c r="BC127" s="29"/>
      <c r="BD127" s="29"/>
    </row>
    <row r="128">
      <c r="B128" s="70"/>
      <c r="C128" s="70"/>
      <c r="D128" s="70"/>
      <c r="E128" s="70"/>
      <c r="AF128" s="29"/>
      <c r="AH128" s="29"/>
      <c r="AI128" s="29"/>
      <c r="AS128" s="29"/>
      <c r="AU128" s="29"/>
      <c r="AV128" s="29"/>
      <c r="AX128" s="29"/>
      <c r="BC128" s="29"/>
      <c r="BD128" s="29"/>
    </row>
    <row r="129">
      <c r="B129" s="70"/>
      <c r="C129" s="70"/>
      <c r="D129" s="70"/>
      <c r="E129" s="70"/>
      <c r="AF129" s="29"/>
      <c r="AH129" s="29"/>
      <c r="AI129" s="29"/>
      <c r="AS129" s="29"/>
      <c r="AU129" s="29"/>
      <c r="AV129" s="29"/>
      <c r="AX129" s="29"/>
      <c r="BC129" s="29"/>
      <c r="BD129" s="29"/>
    </row>
    <row r="130">
      <c r="B130" s="70"/>
      <c r="C130" s="70"/>
      <c r="D130" s="70"/>
      <c r="E130" s="70"/>
      <c r="AF130" s="29"/>
      <c r="AH130" s="29"/>
      <c r="AI130" s="29"/>
      <c r="AS130" s="29"/>
      <c r="AU130" s="29"/>
      <c r="AV130" s="29"/>
      <c r="AX130" s="29"/>
      <c r="BC130" s="29"/>
      <c r="BD130" s="29"/>
    </row>
    <row r="131">
      <c r="B131" s="70"/>
      <c r="C131" s="70"/>
      <c r="D131" s="70"/>
      <c r="E131" s="70"/>
      <c r="AF131" s="29"/>
      <c r="AH131" s="29"/>
      <c r="AI131" s="29"/>
      <c r="AS131" s="29"/>
      <c r="AU131" s="29"/>
      <c r="AV131" s="29"/>
      <c r="AX131" s="29"/>
      <c r="BC131" s="29"/>
      <c r="BD131" s="29"/>
    </row>
    <row r="132">
      <c r="B132" s="70"/>
      <c r="C132" s="70"/>
      <c r="D132" s="70"/>
      <c r="E132" s="70"/>
      <c r="AF132" s="29"/>
      <c r="AH132" s="29"/>
      <c r="AI132" s="29"/>
      <c r="AS132" s="29"/>
      <c r="AU132" s="29"/>
      <c r="AV132" s="29"/>
      <c r="AX132" s="29"/>
      <c r="BC132" s="29"/>
      <c r="BD132" s="29"/>
    </row>
    <row r="133">
      <c r="B133" s="70"/>
      <c r="C133" s="70"/>
      <c r="D133" s="70"/>
      <c r="E133" s="70"/>
      <c r="AF133" s="29"/>
      <c r="AH133" s="29"/>
      <c r="AI133" s="29"/>
      <c r="AS133" s="29"/>
      <c r="AU133" s="29"/>
      <c r="AV133" s="29"/>
      <c r="AX133" s="29"/>
      <c r="BC133" s="29"/>
      <c r="BD133" s="29"/>
    </row>
    <row r="134">
      <c r="B134" s="70"/>
      <c r="C134" s="70"/>
      <c r="D134" s="70"/>
      <c r="E134" s="70"/>
      <c r="AF134" s="29"/>
      <c r="AH134" s="29"/>
      <c r="AI134" s="29"/>
      <c r="AS134" s="29"/>
      <c r="AU134" s="29"/>
      <c r="AV134" s="29"/>
      <c r="AX134" s="29"/>
      <c r="BC134" s="29"/>
      <c r="BD134" s="29"/>
    </row>
    <row r="135">
      <c r="B135" s="70"/>
      <c r="C135" s="70"/>
      <c r="D135" s="70"/>
      <c r="E135" s="70"/>
      <c r="AF135" s="29"/>
      <c r="AH135" s="29"/>
      <c r="AI135" s="29"/>
      <c r="AS135" s="29"/>
      <c r="AU135" s="29"/>
      <c r="AV135" s="29"/>
      <c r="AX135" s="29"/>
      <c r="BC135" s="29"/>
      <c r="BD135" s="29"/>
    </row>
    <row r="136">
      <c r="B136" s="70"/>
      <c r="C136" s="70"/>
      <c r="D136" s="70"/>
      <c r="E136" s="70"/>
      <c r="AF136" s="29"/>
      <c r="AH136" s="29"/>
      <c r="AI136" s="29"/>
      <c r="AS136" s="29"/>
      <c r="AU136" s="29"/>
      <c r="AV136" s="29"/>
      <c r="AX136" s="29"/>
      <c r="BC136" s="29"/>
      <c r="BD136" s="29"/>
    </row>
    <row r="137">
      <c r="B137" s="70"/>
      <c r="C137" s="70"/>
      <c r="D137" s="70"/>
      <c r="E137" s="70"/>
      <c r="AF137" s="29"/>
      <c r="AH137" s="29"/>
      <c r="AI137" s="29"/>
      <c r="AS137" s="29"/>
      <c r="AU137" s="29"/>
      <c r="AV137" s="29"/>
      <c r="AX137" s="29"/>
      <c r="BC137" s="29"/>
      <c r="BD137" s="29"/>
    </row>
    <row r="138">
      <c r="B138" s="70"/>
      <c r="C138" s="70"/>
      <c r="D138" s="70"/>
      <c r="E138" s="70"/>
      <c r="AF138" s="29"/>
      <c r="AH138" s="29"/>
      <c r="AI138" s="29"/>
      <c r="AS138" s="29"/>
      <c r="AU138" s="29"/>
      <c r="AV138" s="29"/>
      <c r="AX138" s="29"/>
      <c r="BC138" s="29"/>
      <c r="BD138" s="29"/>
    </row>
    <row r="139">
      <c r="B139" s="70"/>
      <c r="C139" s="70"/>
      <c r="D139" s="70"/>
      <c r="E139" s="70"/>
      <c r="AF139" s="29"/>
      <c r="AH139" s="29"/>
      <c r="AI139" s="29"/>
      <c r="AS139" s="29"/>
      <c r="AU139" s="29"/>
      <c r="AV139" s="29"/>
      <c r="AX139" s="29"/>
      <c r="BC139" s="29"/>
      <c r="BD139" s="29"/>
    </row>
    <row r="140">
      <c r="B140" s="70"/>
      <c r="C140" s="70"/>
      <c r="D140" s="70"/>
      <c r="E140" s="70"/>
      <c r="AF140" s="29"/>
      <c r="AH140" s="29"/>
      <c r="AI140" s="29"/>
      <c r="AS140" s="29"/>
      <c r="AU140" s="29"/>
      <c r="AV140" s="29"/>
      <c r="AX140" s="29"/>
      <c r="BC140" s="29"/>
      <c r="BD140" s="29"/>
    </row>
    <row r="141">
      <c r="B141" s="70"/>
      <c r="C141" s="70"/>
      <c r="D141" s="70"/>
      <c r="E141" s="70"/>
      <c r="AF141" s="29"/>
      <c r="AH141" s="29"/>
      <c r="AI141" s="29"/>
      <c r="AS141" s="29"/>
      <c r="AU141" s="29"/>
      <c r="AV141" s="29"/>
      <c r="AX141" s="29"/>
      <c r="BC141" s="29"/>
      <c r="BD141" s="29"/>
    </row>
    <row r="142">
      <c r="B142" s="70"/>
      <c r="C142" s="70"/>
      <c r="D142" s="70"/>
      <c r="E142" s="70"/>
      <c r="AF142" s="29"/>
      <c r="AH142" s="29"/>
      <c r="AI142" s="29"/>
      <c r="AS142" s="29"/>
      <c r="AU142" s="29"/>
      <c r="AV142" s="29"/>
      <c r="AX142" s="29"/>
      <c r="BC142" s="29"/>
      <c r="BD142" s="29"/>
    </row>
    <row r="143">
      <c r="B143" s="70"/>
      <c r="C143" s="70"/>
      <c r="D143" s="70"/>
      <c r="E143" s="70"/>
      <c r="AF143" s="29"/>
      <c r="AH143" s="29"/>
      <c r="AI143" s="29"/>
      <c r="AS143" s="29"/>
      <c r="AU143" s="29"/>
      <c r="AV143" s="29"/>
      <c r="AX143" s="29"/>
      <c r="BC143" s="29"/>
      <c r="BD143" s="29"/>
    </row>
    <row r="144">
      <c r="B144" s="70"/>
      <c r="C144" s="70"/>
      <c r="D144" s="70"/>
      <c r="E144" s="70"/>
      <c r="AF144" s="29"/>
      <c r="AH144" s="29"/>
      <c r="AI144" s="29"/>
      <c r="AS144" s="29"/>
      <c r="AU144" s="29"/>
      <c r="AV144" s="29"/>
      <c r="AX144" s="29"/>
      <c r="BC144" s="29"/>
      <c r="BD144" s="29"/>
    </row>
    <row r="145">
      <c r="B145" s="70"/>
      <c r="C145" s="70"/>
      <c r="D145" s="70"/>
      <c r="E145" s="70"/>
      <c r="AF145" s="29"/>
      <c r="AH145" s="29"/>
      <c r="AI145" s="29"/>
      <c r="AS145" s="29"/>
      <c r="AU145" s="29"/>
      <c r="AV145" s="29"/>
      <c r="AX145" s="29"/>
      <c r="BC145" s="29"/>
      <c r="BD145" s="29"/>
    </row>
    <row r="146">
      <c r="B146" s="70"/>
      <c r="C146" s="70"/>
      <c r="D146" s="70"/>
      <c r="E146" s="70"/>
      <c r="AF146" s="29"/>
      <c r="AH146" s="29"/>
      <c r="AI146" s="29"/>
      <c r="AS146" s="29"/>
      <c r="AU146" s="29"/>
      <c r="AV146" s="29"/>
      <c r="AX146" s="29"/>
      <c r="BC146" s="29"/>
      <c r="BD146" s="29"/>
    </row>
    <row r="147">
      <c r="B147" s="70"/>
      <c r="C147" s="70"/>
      <c r="D147" s="70"/>
      <c r="E147" s="70"/>
      <c r="AF147" s="29"/>
      <c r="AH147" s="29"/>
      <c r="AI147" s="29"/>
      <c r="AS147" s="29"/>
      <c r="AU147" s="29"/>
      <c r="AV147" s="29"/>
      <c r="AX147" s="29"/>
      <c r="BC147" s="29"/>
      <c r="BD147" s="29"/>
    </row>
    <row r="148">
      <c r="B148" s="70"/>
      <c r="C148" s="70"/>
      <c r="D148" s="70"/>
      <c r="E148" s="70"/>
      <c r="AF148" s="29"/>
      <c r="AH148" s="29"/>
      <c r="AI148" s="29"/>
      <c r="AS148" s="29"/>
      <c r="AU148" s="29"/>
      <c r="AV148" s="29"/>
      <c r="AX148" s="29"/>
      <c r="BC148" s="29"/>
      <c r="BD148" s="29"/>
    </row>
    <row r="149">
      <c r="B149" s="70"/>
      <c r="C149" s="70"/>
      <c r="D149" s="70"/>
      <c r="E149" s="70"/>
      <c r="AF149" s="29"/>
      <c r="AH149" s="29"/>
      <c r="AI149" s="29"/>
      <c r="AS149" s="29"/>
      <c r="AU149" s="29"/>
      <c r="AV149" s="29"/>
      <c r="AX149" s="29"/>
      <c r="BC149" s="29"/>
      <c r="BD149" s="29"/>
    </row>
    <row r="150">
      <c r="B150" s="70"/>
      <c r="C150" s="70"/>
      <c r="D150" s="70"/>
      <c r="E150" s="70"/>
      <c r="AF150" s="29"/>
      <c r="AH150" s="29"/>
      <c r="AI150" s="29"/>
      <c r="AS150" s="29"/>
      <c r="AU150" s="29"/>
      <c r="AV150" s="29"/>
      <c r="AX150" s="29"/>
      <c r="BC150" s="29"/>
      <c r="BD150" s="29"/>
    </row>
    <row r="151">
      <c r="B151" s="70"/>
      <c r="C151" s="70"/>
      <c r="D151" s="70"/>
      <c r="E151" s="70"/>
      <c r="AF151" s="29"/>
      <c r="AH151" s="29"/>
      <c r="AI151" s="29"/>
      <c r="AS151" s="29"/>
      <c r="AU151" s="29"/>
      <c r="AV151" s="29"/>
      <c r="AX151" s="29"/>
      <c r="BC151" s="29"/>
      <c r="BD151" s="29"/>
    </row>
    <row r="152">
      <c r="B152" s="70"/>
      <c r="C152" s="70"/>
      <c r="D152" s="70"/>
      <c r="E152" s="70"/>
      <c r="AF152" s="29"/>
      <c r="AH152" s="29"/>
      <c r="AI152" s="29"/>
      <c r="AS152" s="29"/>
      <c r="AU152" s="29"/>
      <c r="AV152" s="29"/>
      <c r="AX152" s="29"/>
      <c r="BC152" s="29"/>
      <c r="BD152" s="29"/>
    </row>
    <row r="153">
      <c r="B153" s="70"/>
      <c r="C153" s="70"/>
      <c r="D153" s="70"/>
      <c r="E153" s="70"/>
      <c r="AF153" s="29"/>
      <c r="AH153" s="29"/>
      <c r="AI153" s="29"/>
      <c r="AS153" s="29"/>
      <c r="AU153" s="29"/>
      <c r="AV153" s="29"/>
      <c r="AX153" s="29"/>
      <c r="BC153" s="29"/>
      <c r="BD153" s="29"/>
    </row>
    <row r="154">
      <c r="B154" s="70"/>
      <c r="C154" s="70"/>
      <c r="D154" s="70"/>
      <c r="E154" s="70"/>
      <c r="AF154" s="29"/>
      <c r="AH154" s="29"/>
      <c r="AI154" s="29"/>
      <c r="AS154" s="29"/>
      <c r="AU154" s="29"/>
      <c r="AV154" s="29"/>
      <c r="AX154" s="29"/>
      <c r="BC154" s="29"/>
      <c r="BD154" s="29"/>
    </row>
    <row r="155">
      <c r="B155" s="70"/>
      <c r="C155" s="70"/>
      <c r="D155" s="70"/>
      <c r="E155" s="70"/>
      <c r="AF155" s="29"/>
      <c r="AH155" s="29"/>
      <c r="AI155" s="29"/>
      <c r="AS155" s="29"/>
      <c r="AU155" s="29"/>
      <c r="AV155" s="29"/>
      <c r="AX155" s="29"/>
      <c r="BC155" s="29"/>
      <c r="BD155" s="29"/>
    </row>
    <row r="156">
      <c r="B156" s="70"/>
      <c r="C156" s="70"/>
      <c r="D156" s="70"/>
      <c r="E156" s="70"/>
      <c r="AF156" s="29"/>
      <c r="AH156" s="29"/>
      <c r="AI156" s="29"/>
      <c r="AS156" s="29"/>
      <c r="AU156" s="29"/>
      <c r="AV156" s="29"/>
      <c r="AX156" s="29"/>
      <c r="BC156" s="29"/>
      <c r="BD156" s="29"/>
    </row>
    <row r="157">
      <c r="B157" s="70"/>
      <c r="C157" s="70"/>
      <c r="D157" s="70"/>
      <c r="E157" s="70"/>
      <c r="AF157" s="29"/>
      <c r="AH157" s="29"/>
      <c r="AI157" s="29"/>
      <c r="AS157" s="29"/>
      <c r="AU157" s="29"/>
      <c r="AV157" s="29"/>
      <c r="AX157" s="29"/>
      <c r="BC157" s="29"/>
      <c r="BD157" s="29"/>
    </row>
    <row r="158">
      <c r="B158" s="70"/>
      <c r="C158" s="70"/>
      <c r="D158" s="70"/>
      <c r="E158" s="70"/>
      <c r="AF158" s="29"/>
      <c r="AH158" s="29"/>
      <c r="AI158" s="29"/>
      <c r="AS158" s="29"/>
      <c r="AU158" s="29"/>
      <c r="AV158" s="29"/>
      <c r="AX158" s="29"/>
      <c r="BC158" s="29"/>
      <c r="BD158" s="29"/>
    </row>
    <row r="159">
      <c r="B159" s="70"/>
      <c r="C159" s="70"/>
      <c r="D159" s="70"/>
      <c r="E159" s="70"/>
      <c r="AF159" s="29"/>
      <c r="AH159" s="29"/>
      <c r="AI159" s="29"/>
      <c r="AS159" s="29"/>
      <c r="AU159" s="29"/>
      <c r="AV159" s="29"/>
      <c r="AX159" s="29"/>
      <c r="BC159" s="29"/>
      <c r="BD159" s="29"/>
    </row>
    <row r="160">
      <c r="B160" s="70"/>
      <c r="C160" s="70"/>
      <c r="D160" s="70"/>
      <c r="E160" s="70"/>
      <c r="AF160" s="29"/>
      <c r="AH160" s="29"/>
      <c r="AI160" s="29"/>
      <c r="AS160" s="29"/>
      <c r="AU160" s="29"/>
      <c r="AV160" s="29"/>
      <c r="AX160" s="29"/>
      <c r="BC160" s="29"/>
      <c r="BD160" s="29"/>
    </row>
    <row r="161">
      <c r="B161" s="70"/>
      <c r="C161" s="70"/>
      <c r="D161" s="70"/>
      <c r="E161" s="70"/>
      <c r="AF161" s="29"/>
      <c r="AH161" s="29"/>
      <c r="AI161" s="29"/>
      <c r="AS161" s="29"/>
      <c r="AU161" s="29"/>
      <c r="AV161" s="29"/>
      <c r="AX161" s="29"/>
      <c r="BC161" s="29"/>
      <c r="BD161" s="29"/>
    </row>
    <row r="162">
      <c r="B162" s="70"/>
      <c r="C162" s="70"/>
      <c r="D162" s="70"/>
      <c r="E162" s="70"/>
      <c r="AF162" s="29"/>
      <c r="AH162" s="29"/>
      <c r="AI162" s="29"/>
      <c r="AS162" s="29"/>
      <c r="AU162" s="29"/>
      <c r="AV162" s="29"/>
      <c r="AX162" s="29"/>
      <c r="BC162" s="29"/>
      <c r="BD162" s="29"/>
    </row>
    <row r="163">
      <c r="B163" s="70"/>
      <c r="C163" s="70"/>
      <c r="D163" s="70"/>
      <c r="E163" s="70"/>
      <c r="AF163" s="29"/>
      <c r="AH163" s="29"/>
      <c r="AI163" s="29"/>
      <c r="AS163" s="29"/>
      <c r="AU163" s="29"/>
      <c r="AV163" s="29"/>
      <c r="AX163" s="29"/>
      <c r="BC163" s="29"/>
      <c r="BD163" s="29"/>
    </row>
    <row r="164">
      <c r="B164" s="70"/>
      <c r="C164" s="70"/>
      <c r="D164" s="70"/>
      <c r="E164" s="70"/>
      <c r="AF164" s="29"/>
      <c r="AH164" s="29"/>
      <c r="AI164" s="29"/>
      <c r="AS164" s="29"/>
      <c r="AU164" s="29"/>
      <c r="AV164" s="29"/>
      <c r="AX164" s="29"/>
      <c r="BC164" s="29"/>
      <c r="BD164" s="29"/>
    </row>
    <row r="165">
      <c r="B165" s="70"/>
      <c r="C165" s="70"/>
      <c r="D165" s="70"/>
      <c r="E165" s="70"/>
      <c r="AF165" s="29"/>
      <c r="AH165" s="29"/>
      <c r="AI165" s="29"/>
      <c r="AS165" s="29"/>
      <c r="AU165" s="29"/>
      <c r="AV165" s="29"/>
      <c r="AX165" s="29"/>
      <c r="BC165" s="29"/>
      <c r="BD165" s="29"/>
    </row>
    <row r="166">
      <c r="B166" s="70"/>
      <c r="C166" s="70"/>
      <c r="D166" s="70"/>
      <c r="E166" s="70"/>
      <c r="AF166" s="29"/>
      <c r="AH166" s="29"/>
      <c r="AI166" s="29"/>
      <c r="AS166" s="29"/>
      <c r="AU166" s="29"/>
      <c r="AV166" s="29"/>
      <c r="AX166" s="29"/>
      <c r="BC166" s="29"/>
      <c r="BD166" s="29"/>
    </row>
    <row r="167">
      <c r="B167" s="70"/>
      <c r="C167" s="70"/>
      <c r="D167" s="70"/>
      <c r="E167" s="70"/>
      <c r="AF167" s="29"/>
      <c r="AH167" s="29"/>
      <c r="AI167" s="29"/>
      <c r="AS167" s="29"/>
      <c r="AU167" s="29"/>
      <c r="AV167" s="29"/>
      <c r="AX167" s="29"/>
      <c r="BC167" s="29"/>
      <c r="BD167" s="29"/>
    </row>
    <row r="168">
      <c r="B168" s="70"/>
      <c r="C168" s="70"/>
      <c r="D168" s="70"/>
      <c r="E168" s="70"/>
      <c r="AF168" s="29"/>
      <c r="AH168" s="29"/>
      <c r="AI168" s="29"/>
      <c r="AS168" s="29"/>
      <c r="AU168" s="29"/>
      <c r="AV168" s="29"/>
      <c r="AX168" s="29"/>
      <c r="BC168" s="29"/>
      <c r="BD168" s="29"/>
    </row>
    <row r="169">
      <c r="B169" s="70"/>
      <c r="C169" s="70"/>
      <c r="D169" s="70"/>
      <c r="E169" s="70"/>
      <c r="AF169" s="29"/>
      <c r="AH169" s="29"/>
      <c r="AI169" s="29"/>
      <c r="AS169" s="29"/>
      <c r="AU169" s="29"/>
      <c r="AV169" s="29"/>
      <c r="AX169" s="29"/>
      <c r="BC169" s="29"/>
      <c r="BD169" s="29"/>
    </row>
    <row r="170">
      <c r="B170" s="70"/>
      <c r="C170" s="70"/>
      <c r="D170" s="70"/>
      <c r="E170" s="70"/>
      <c r="AF170" s="29"/>
      <c r="AH170" s="29"/>
      <c r="AI170" s="29"/>
      <c r="AS170" s="29"/>
      <c r="AU170" s="29"/>
      <c r="AV170" s="29"/>
      <c r="AX170" s="29"/>
      <c r="BC170" s="29"/>
      <c r="BD170" s="29"/>
    </row>
    <row r="171">
      <c r="B171" s="70"/>
      <c r="C171" s="70"/>
      <c r="D171" s="70"/>
      <c r="E171" s="70"/>
      <c r="AF171" s="29"/>
      <c r="AH171" s="29"/>
      <c r="AI171" s="29"/>
      <c r="AS171" s="29"/>
      <c r="AU171" s="29"/>
      <c r="AV171" s="29"/>
      <c r="AX171" s="29"/>
      <c r="BC171" s="29"/>
      <c r="BD171" s="29"/>
    </row>
    <row r="172">
      <c r="B172" s="70"/>
      <c r="C172" s="70"/>
      <c r="D172" s="70"/>
      <c r="E172" s="70"/>
      <c r="AF172" s="29"/>
      <c r="AH172" s="29"/>
      <c r="AI172" s="29"/>
      <c r="AS172" s="29"/>
      <c r="AU172" s="29"/>
      <c r="AV172" s="29"/>
      <c r="AX172" s="29"/>
      <c r="BC172" s="29"/>
      <c r="BD172" s="29"/>
    </row>
    <row r="173">
      <c r="B173" s="70"/>
      <c r="C173" s="70"/>
      <c r="D173" s="70"/>
      <c r="E173" s="70"/>
      <c r="AF173" s="29"/>
      <c r="AH173" s="29"/>
      <c r="AI173" s="29"/>
      <c r="AS173" s="29"/>
      <c r="AU173" s="29"/>
      <c r="AV173" s="29"/>
      <c r="AX173" s="29"/>
      <c r="BC173" s="29"/>
      <c r="BD173" s="29"/>
    </row>
    <row r="174">
      <c r="B174" s="70"/>
      <c r="C174" s="70"/>
      <c r="D174" s="70"/>
      <c r="E174" s="70"/>
      <c r="AF174" s="29"/>
      <c r="AH174" s="29"/>
      <c r="AI174" s="29"/>
      <c r="AS174" s="29"/>
      <c r="AU174" s="29"/>
      <c r="AV174" s="29"/>
      <c r="AX174" s="29"/>
      <c r="BC174" s="29"/>
      <c r="BD174" s="29"/>
    </row>
    <row r="175">
      <c r="B175" s="70"/>
      <c r="C175" s="70"/>
      <c r="D175" s="70"/>
      <c r="E175" s="70"/>
      <c r="AF175" s="29"/>
      <c r="AH175" s="29"/>
      <c r="AI175" s="29"/>
      <c r="AS175" s="29"/>
      <c r="AU175" s="29"/>
      <c r="AV175" s="29"/>
      <c r="AX175" s="29"/>
      <c r="BC175" s="29"/>
      <c r="BD175" s="29"/>
    </row>
    <row r="176">
      <c r="B176" s="70"/>
      <c r="C176" s="70"/>
      <c r="D176" s="70"/>
      <c r="E176" s="70"/>
      <c r="AF176" s="29"/>
      <c r="AH176" s="29"/>
      <c r="AI176" s="29"/>
      <c r="AS176" s="29"/>
      <c r="AU176" s="29"/>
      <c r="AV176" s="29"/>
      <c r="AX176" s="29"/>
      <c r="BC176" s="29"/>
      <c r="BD176" s="29"/>
    </row>
    <row r="177">
      <c r="B177" s="70"/>
      <c r="C177" s="70"/>
      <c r="D177" s="70"/>
      <c r="E177" s="70"/>
      <c r="AF177" s="29"/>
      <c r="AH177" s="29"/>
      <c r="AI177" s="29"/>
      <c r="AS177" s="29"/>
      <c r="AU177" s="29"/>
      <c r="AV177" s="29"/>
      <c r="AX177" s="29"/>
      <c r="BC177" s="29"/>
      <c r="BD177" s="29"/>
    </row>
    <row r="178">
      <c r="B178" s="70"/>
      <c r="C178" s="70"/>
      <c r="D178" s="70"/>
      <c r="E178" s="70"/>
      <c r="AF178" s="29"/>
      <c r="AH178" s="29"/>
      <c r="AI178" s="29"/>
      <c r="AS178" s="29"/>
      <c r="AU178" s="29"/>
      <c r="AV178" s="29"/>
      <c r="AX178" s="29"/>
      <c r="BC178" s="29"/>
      <c r="BD178" s="29"/>
    </row>
    <row r="179">
      <c r="B179" s="70"/>
      <c r="C179" s="70"/>
      <c r="D179" s="70"/>
      <c r="E179" s="70"/>
      <c r="AF179" s="29"/>
      <c r="AH179" s="29"/>
      <c r="AI179" s="29"/>
      <c r="AS179" s="29"/>
      <c r="AU179" s="29"/>
      <c r="AV179" s="29"/>
      <c r="AX179" s="29"/>
      <c r="BC179" s="29"/>
      <c r="BD179" s="29"/>
    </row>
    <row r="180">
      <c r="B180" s="70"/>
      <c r="C180" s="70"/>
      <c r="D180" s="70"/>
      <c r="E180" s="70"/>
      <c r="AF180" s="29"/>
      <c r="AH180" s="29"/>
      <c r="AI180" s="29"/>
      <c r="AS180" s="29"/>
      <c r="AU180" s="29"/>
      <c r="AV180" s="29"/>
      <c r="AX180" s="29"/>
      <c r="BC180" s="29"/>
      <c r="BD180" s="29"/>
    </row>
    <row r="181">
      <c r="B181" s="70"/>
      <c r="C181" s="70"/>
      <c r="D181" s="70"/>
      <c r="E181" s="70"/>
      <c r="AF181" s="29"/>
      <c r="AH181" s="29"/>
      <c r="AI181" s="29"/>
      <c r="AS181" s="29"/>
      <c r="AU181" s="29"/>
      <c r="AV181" s="29"/>
      <c r="AX181" s="29"/>
      <c r="BC181" s="29"/>
      <c r="BD181" s="29"/>
    </row>
    <row r="182">
      <c r="B182" s="70"/>
      <c r="C182" s="70"/>
      <c r="D182" s="70"/>
      <c r="E182" s="70"/>
      <c r="AF182" s="29"/>
      <c r="AH182" s="29"/>
      <c r="AI182" s="29"/>
      <c r="AS182" s="29"/>
      <c r="AU182" s="29"/>
      <c r="AV182" s="29"/>
      <c r="AX182" s="29"/>
      <c r="BC182" s="29"/>
      <c r="BD182" s="29"/>
    </row>
    <row r="183">
      <c r="B183" s="70"/>
      <c r="C183" s="70"/>
      <c r="D183" s="70"/>
      <c r="E183" s="70"/>
      <c r="AF183" s="29"/>
      <c r="AH183" s="29"/>
      <c r="AI183" s="29"/>
      <c r="AS183" s="29"/>
      <c r="AU183" s="29"/>
      <c r="AV183" s="29"/>
      <c r="AX183" s="29"/>
      <c r="BC183" s="29"/>
      <c r="BD183" s="29"/>
    </row>
    <row r="184">
      <c r="B184" s="70"/>
      <c r="C184" s="70"/>
      <c r="D184" s="70"/>
      <c r="E184" s="70"/>
      <c r="AF184" s="29"/>
      <c r="AH184" s="29"/>
      <c r="AI184" s="29"/>
      <c r="AS184" s="29"/>
      <c r="AU184" s="29"/>
      <c r="AV184" s="29"/>
      <c r="AX184" s="29"/>
      <c r="BC184" s="29"/>
      <c r="BD184" s="29"/>
    </row>
    <row r="185">
      <c r="B185" s="70"/>
      <c r="C185" s="70"/>
      <c r="D185" s="70"/>
      <c r="E185" s="70"/>
      <c r="AF185" s="29"/>
      <c r="AH185" s="29"/>
      <c r="AI185" s="29"/>
      <c r="AS185" s="29"/>
      <c r="AU185" s="29"/>
      <c r="AV185" s="29"/>
      <c r="AX185" s="29"/>
      <c r="BC185" s="29"/>
      <c r="BD185" s="29"/>
    </row>
    <row r="186">
      <c r="B186" s="70"/>
      <c r="C186" s="70"/>
      <c r="D186" s="70"/>
      <c r="E186" s="70"/>
      <c r="AF186" s="29"/>
      <c r="AH186" s="29"/>
      <c r="AI186" s="29"/>
      <c r="AS186" s="29"/>
      <c r="AU186" s="29"/>
      <c r="AV186" s="29"/>
      <c r="AX186" s="29"/>
      <c r="BC186" s="29"/>
      <c r="BD186" s="29"/>
    </row>
    <row r="187">
      <c r="B187" s="70"/>
      <c r="C187" s="70"/>
      <c r="D187" s="70"/>
      <c r="E187" s="70"/>
      <c r="AF187" s="29"/>
      <c r="AH187" s="29"/>
      <c r="AI187" s="29"/>
      <c r="AS187" s="29"/>
      <c r="AU187" s="29"/>
      <c r="AV187" s="29"/>
      <c r="AX187" s="29"/>
      <c r="BC187" s="29"/>
      <c r="BD187" s="29"/>
    </row>
    <row r="188">
      <c r="B188" s="70"/>
      <c r="C188" s="70"/>
      <c r="D188" s="70"/>
      <c r="E188" s="70"/>
      <c r="AF188" s="29"/>
      <c r="AH188" s="29"/>
      <c r="AI188" s="29"/>
      <c r="AS188" s="29"/>
      <c r="AU188" s="29"/>
      <c r="AV188" s="29"/>
      <c r="AX188" s="29"/>
      <c r="BC188" s="29"/>
      <c r="BD188" s="29"/>
    </row>
    <row r="189">
      <c r="B189" s="70"/>
      <c r="C189" s="70"/>
      <c r="D189" s="70"/>
      <c r="E189" s="70"/>
      <c r="AF189" s="29"/>
      <c r="AH189" s="29"/>
      <c r="AI189" s="29"/>
      <c r="AS189" s="29"/>
      <c r="AU189" s="29"/>
      <c r="AV189" s="29"/>
      <c r="AX189" s="29"/>
      <c r="BC189" s="29"/>
      <c r="BD189" s="29"/>
    </row>
    <row r="190">
      <c r="B190" s="70"/>
      <c r="C190" s="70"/>
      <c r="D190" s="70"/>
      <c r="E190" s="70"/>
      <c r="AF190" s="29"/>
      <c r="AH190" s="29"/>
      <c r="AI190" s="29"/>
      <c r="AS190" s="29"/>
      <c r="AU190" s="29"/>
      <c r="AV190" s="29"/>
      <c r="AX190" s="29"/>
      <c r="BC190" s="29"/>
      <c r="BD190" s="29"/>
    </row>
    <row r="191">
      <c r="B191" s="70"/>
      <c r="C191" s="70"/>
      <c r="D191" s="70"/>
      <c r="E191" s="70"/>
      <c r="AF191" s="29"/>
      <c r="AH191" s="29"/>
      <c r="AI191" s="29"/>
      <c r="AS191" s="29"/>
      <c r="AU191" s="29"/>
      <c r="AV191" s="29"/>
      <c r="AX191" s="29"/>
      <c r="BC191" s="29"/>
      <c r="BD191" s="29"/>
    </row>
    <row r="192">
      <c r="B192" s="70"/>
      <c r="C192" s="70"/>
      <c r="D192" s="70"/>
      <c r="E192" s="70"/>
      <c r="AF192" s="29"/>
      <c r="AH192" s="29"/>
      <c r="AI192" s="29"/>
      <c r="AS192" s="29"/>
      <c r="AU192" s="29"/>
      <c r="AV192" s="29"/>
      <c r="AX192" s="29"/>
      <c r="BC192" s="29"/>
      <c r="BD192" s="29"/>
    </row>
    <row r="193">
      <c r="B193" s="70"/>
      <c r="C193" s="70"/>
      <c r="D193" s="70"/>
      <c r="E193" s="70"/>
      <c r="AF193" s="29"/>
      <c r="AH193" s="29"/>
      <c r="AI193" s="29"/>
      <c r="AS193" s="29"/>
      <c r="AU193" s="29"/>
      <c r="AV193" s="29"/>
      <c r="AX193" s="29"/>
      <c r="BC193" s="29"/>
      <c r="BD193" s="29"/>
    </row>
    <row r="194">
      <c r="B194" s="70"/>
      <c r="C194" s="70"/>
      <c r="D194" s="70"/>
      <c r="E194" s="70"/>
      <c r="AF194" s="29"/>
      <c r="AH194" s="29"/>
      <c r="AI194" s="29"/>
      <c r="AS194" s="29"/>
      <c r="AU194" s="29"/>
      <c r="AV194" s="29"/>
      <c r="AX194" s="29"/>
      <c r="BC194" s="29"/>
      <c r="BD194" s="29"/>
    </row>
    <row r="195">
      <c r="B195" s="70"/>
      <c r="C195" s="70"/>
      <c r="D195" s="70"/>
      <c r="E195" s="70"/>
      <c r="AF195" s="29"/>
      <c r="AH195" s="29"/>
      <c r="AI195" s="29"/>
      <c r="AS195" s="29"/>
      <c r="AU195" s="29"/>
      <c r="AV195" s="29"/>
      <c r="AX195" s="29"/>
      <c r="BC195" s="29"/>
      <c r="BD195" s="29"/>
    </row>
    <row r="196">
      <c r="B196" s="70"/>
      <c r="C196" s="70"/>
      <c r="D196" s="70"/>
      <c r="E196" s="70"/>
      <c r="AF196" s="29"/>
      <c r="AH196" s="29"/>
      <c r="AI196" s="29"/>
      <c r="AS196" s="29"/>
      <c r="AU196" s="29"/>
      <c r="AV196" s="29"/>
      <c r="AX196" s="29"/>
      <c r="BC196" s="29"/>
      <c r="BD196" s="29"/>
    </row>
    <row r="197">
      <c r="B197" s="70"/>
      <c r="C197" s="70"/>
      <c r="D197" s="70"/>
      <c r="E197" s="70"/>
      <c r="AF197" s="29"/>
      <c r="AH197" s="29"/>
      <c r="AI197" s="29"/>
      <c r="AS197" s="29"/>
      <c r="AU197" s="29"/>
      <c r="AV197" s="29"/>
      <c r="AX197" s="29"/>
      <c r="BC197" s="29"/>
      <c r="BD197" s="29"/>
    </row>
    <row r="198">
      <c r="B198" s="70"/>
      <c r="C198" s="70"/>
      <c r="D198" s="70"/>
      <c r="E198" s="70"/>
      <c r="AF198" s="29"/>
      <c r="AH198" s="29"/>
      <c r="AI198" s="29"/>
      <c r="AS198" s="29"/>
      <c r="AU198" s="29"/>
      <c r="AV198" s="29"/>
      <c r="AX198" s="29"/>
      <c r="BC198" s="29"/>
      <c r="BD198" s="29"/>
    </row>
    <row r="199">
      <c r="B199" s="70"/>
      <c r="C199" s="70"/>
      <c r="D199" s="70"/>
      <c r="E199" s="70"/>
      <c r="AF199" s="29"/>
      <c r="AH199" s="29"/>
      <c r="AI199" s="29"/>
      <c r="AS199" s="29"/>
      <c r="AU199" s="29"/>
      <c r="AV199" s="29"/>
      <c r="AX199" s="29"/>
      <c r="BC199" s="29"/>
      <c r="BD199" s="29"/>
    </row>
    <row r="200">
      <c r="B200" s="70"/>
      <c r="C200" s="70"/>
      <c r="D200" s="70"/>
      <c r="E200" s="70"/>
      <c r="AF200" s="29"/>
      <c r="AH200" s="29"/>
      <c r="AI200" s="29"/>
      <c r="AS200" s="29"/>
      <c r="AU200" s="29"/>
      <c r="AV200" s="29"/>
      <c r="AX200" s="29"/>
      <c r="BC200" s="29"/>
      <c r="BD200" s="29"/>
    </row>
    <row r="201">
      <c r="B201" s="70"/>
      <c r="C201" s="70"/>
      <c r="D201" s="70"/>
      <c r="E201" s="70"/>
      <c r="AF201" s="29"/>
      <c r="AH201" s="29"/>
      <c r="AI201" s="29"/>
      <c r="AS201" s="29"/>
      <c r="AU201" s="29"/>
      <c r="AV201" s="29"/>
      <c r="AX201" s="29"/>
      <c r="BC201" s="29"/>
      <c r="BD201" s="29"/>
    </row>
    <row r="202">
      <c r="B202" s="70"/>
      <c r="C202" s="70"/>
      <c r="D202" s="70"/>
      <c r="E202" s="70"/>
      <c r="AF202" s="29"/>
      <c r="AH202" s="29"/>
      <c r="AI202" s="29"/>
      <c r="AS202" s="29"/>
      <c r="AU202" s="29"/>
      <c r="AV202" s="29"/>
      <c r="AX202" s="29"/>
      <c r="BC202" s="29"/>
      <c r="BD202" s="29"/>
    </row>
    <row r="203">
      <c r="B203" s="70"/>
      <c r="C203" s="70"/>
      <c r="D203" s="70"/>
      <c r="E203" s="70"/>
      <c r="AF203" s="29"/>
      <c r="AH203" s="29"/>
      <c r="AI203" s="29"/>
      <c r="AS203" s="29"/>
      <c r="AU203" s="29"/>
      <c r="AV203" s="29"/>
      <c r="AX203" s="29"/>
      <c r="BC203" s="29"/>
      <c r="BD203" s="29"/>
    </row>
    <row r="204">
      <c r="B204" s="70"/>
      <c r="C204" s="70"/>
      <c r="D204" s="70"/>
      <c r="E204" s="70"/>
      <c r="AF204" s="29"/>
      <c r="AH204" s="29"/>
      <c r="AI204" s="29"/>
      <c r="AS204" s="29"/>
      <c r="AU204" s="29"/>
      <c r="AV204" s="29"/>
      <c r="AX204" s="29"/>
      <c r="BC204" s="29"/>
      <c r="BD204" s="29"/>
    </row>
    <row r="205">
      <c r="B205" s="70"/>
      <c r="C205" s="70"/>
      <c r="D205" s="70"/>
      <c r="E205" s="70"/>
      <c r="AF205" s="29"/>
      <c r="AH205" s="29"/>
      <c r="AI205" s="29"/>
      <c r="AS205" s="29"/>
      <c r="AU205" s="29"/>
      <c r="AV205" s="29"/>
      <c r="AX205" s="29"/>
      <c r="BC205" s="29"/>
      <c r="BD205" s="29"/>
    </row>
    <row r="206">
      <c r="B206" s="70"/>
      <c r="C206" s="70"/>
      <c r="D206" s="70"/>
      <c r="E206" s="70"/>
      <c r="AF206" s="29"/>
      <c r="AH206" s="29"/>
      <c r="AI206" s="29"/>
      <c r="AS206" s="29"/>
      <c r="AU206" s="29"/>
      <c r="AV206" s="29"/>
      <c r="AX206" s="29"/>
      <c r="BC206" s="29"/>
      <c r="BD206" s="29"/>
    </row>
    <row r="207">
      <c r="B207" s="70"/>
      <c r="C207" s="70"/>
      <c r="D207" s="70"/>
      <c r="E207" s="70"/>
      <c r="AF207" s="29"/>
      <c r="AH207" s="29"/>
      <c r="AI207" s="29"/>
      <c r="AS207" s="29"/>
      <c r="AU207" s="29"/>
      <c r="AV207" s="29"/>
      <c r="AX207" s="29"/>
      <c r="BC207" s="29"/>
      <c r="BD207" s="29"/>
    </row>
    <row r="208">
      <c r="B208" s="70"/>
      <c r="C208" s="70"/>
      <c r="D208" s="70"/>
      <c r="E208" s="70"/>
      <c r="AF208" s="29"/>
      <c r="AH208" s="29"/>
      <c r="AI208" s="29"/>
      <c r="AS208" s="29"/>
      <c r="AU208" s="29"/>
      <c r="AV208" s="29"/>
      <c r="AX208" s="29"/>
      <c r="BC208" s="29"/>
      <c r="BD208" s="29"/>
    </row>
    <row r="209">
      <c r="B209" s="70"/>
      <c r="C209" s="70"/>
      <c r="D209" s="70"/>
      <c r="E209" s="70"/>
      <c r="AF209" s="29"/>
      <c r="AH209" s="29"/>
      <c r="AI209" s="29"/>
      <c r="AS209" s="29"/>
      <c r="AU209" s="29"/>
      <c r="AV209" s="29"/>
      <c r="AX209" s="29"/>
      <c r="BC209" s="29"/>
      <c r="BD209" s="29"/>
    </row>
    <row r="210">
      <c r="B210" s="70"/>
      <c r="C210" s="70"/>
      <c r="D210" s="70"/>
      <c r="E210" s="70"/>
      <c r="AF210" s="29"/>
      <c r="AH210" s="29"/>
      <c r="AI210" s="29"/>
      <c r="AS210" s="29"/>
      <c r="AU210" s="29"/>
      <c r="AV210" s="29"/>
      <c r="AX210" s="29"/>
      <c r="BC210" s="29"/>
      <c r="BD210" s="29"/>
    </row>
    <row r="211">
      <c r="B211" s="70"/>
      <c r="C211" s="70"/>
      <c r="D211" s="70"/>
      <c r="E211" s="70"/>
      <c r="AF211" s="29"/>
      <c r="AH211" s="29"/>
      <c r="AI211" s="29"/>
      <c r="AS211" s="29"/>
      <c r="AU211" s="29"/>
      <c r="AV211" s="29"/>
      <c r="AX211" s="29"/>
      <c r="BC211" s="29"/>
      <c r="BD211" s="29"/>
    </row>
    <row r="212">
      <c r="B212" s="70"/>
      <c r="C212" s="70"/>
      <c r="D212" s="70"/>
      <c r="E212" s="70"/>
      <c r="AF212" s="29"/>
      <c r="AH212" s="29"/>
      <c r="AI212" s="29"/>
      <c r="AS212" s="29"/>
      <c r="AU212" s="29"/>
      <c r="AV212" s="29"/>
      <c r="AX212" s="29"/>
      <c r="BC212" s="29"/>
      <c r="BD212" s="29"/>
    </row>
    <row r="213">
      <c r="B213" s="70"/>
      <c r="C213" s="70"/>
      <c r="D213" s="70"/>
      <c r="E213" s="70"/>
      <c r="AF213" s="29"/>
      <c r="AH213" s="29"/>
      <c r="AI213" s="29"/>
      <c r="AS213" s="29"/>
      <c r="AU213" s="29"/>
      <c r="AV213" s="29"/>
      <c r="AX213" s="29"/>
      <c r="BC213" s="29"/>
      <c r="BD213" s="29"/>
    </row>
    <row r="214">
      <c r="B214" s="70"/>
      <c r="C214" s="70"/>
      <c r="D214" s="70"/>
      <c r="E214" s="70"/>
      <c r="AF214" s="29"/>
      <c r="AH214" s="29"/>
      <c r="AI214" s="29"/>
      <c r="AS214" s="29"/>
      <c r="AU214" s="29"/>
      <c r="AV214" s="29"/>
      <c r="AX214" s="29"/>
      <c r="BC214" s="29"/>
      <c r="BD214" s="29"/>
    </row>
    <row r="215">
      <c r="B215" s="70"/>
      <c r="C215" s="70"/>
      <c r="D215" s="70"/>
      <c r="E215" s="70"/>
      <c r="AF215" s="29"/>
      <c r="AH215" s="29"/>
      <c r="AI215" s="29"/>
      <c r="AS215" s="29"/>
      <c r="AU215" s="29"/>
      <c r="AV215" s="29"/>
      <c r="AX215" s="29"/>
      <c r="BC215" s="29"/>
      <c r="BD215" s="29"/>
    </row>
    <row r="216">
      <c r="B216" s="70"/>
      <c r="C216" s="70"/>
      <c r="D216" s="70"/>
      <c r="E216" s="70"/>
      <c r="AF216" s="29"/>
      <c r="AH216" s="29"/>
      <c r="AI216" s="29"/>
      <c r="AS216" s="29"/>
      <c r="AU216" s="29"/>
      <c r="AV216" s="29"/>
      <c r="AX216" s="29"/>
      <c r="BC216" s="29"/>
      <c r="BD216" s="29"/>
    </row>
    <row r="217">
      <c r="B217" s="70"/>
      <c r="C217" s="70"/>
      <c r="D217" s="70"/>
      <c r="E217" s="70"/>
      <c r="AF217" s="29"/>
      <c r="AH217" s="29"/>
      <c r="AI217" s="29"/>
      <c r="AS217" s="29"/>
      <c r="AU217" s="29"/>
      <c r="AV217" s="29"/>
      <c r="AX217" s="29"/>
      <c r="BC217" s="29"/>
      <c r="BD217" s="29"/>
    </row>
    <row r="218">
      <c r="B218" s="70"/>
      <c r="C218" s="70"/>
      <c r="D218" s="70"/>
      <c r="E218" s="70"/>
      <c r="AF218" s="29"/>
      <c r="AH218" s="29"/>
      <c r="AI218" s="29"/>
      <c r="AS218" s="29"/>
      <c r="AU218" s="29"/>
      <c r="AV218" s="29"/>
      <c r="AX218" s="29"/>
      <c r="BC218" s="29"/>
      <c r="BD218" s="29"/>
    </row>
    <row r="219">
      <c r="B219" s="70"/>
      <c r="C219" s="70"/>
      <c r="D219" s="70"/>
      <c r="E219" s="70"/>
      <c r="AF219" s="29"/>
      <c r="AH219" s="29"/>
      <c r="AI219" s="29"/>
      <c r="AS219" s="29"/>
      <c r="AU219" s="29"/>
      <c r="AV219" s="29"/>
      <c r="AX219" s="29"/>
      <c r="BC219" s="29"/>
      <c r="BD219" s="29"/>
    </row>
    <row r="220">
      <c r="B220" s="70"/>
      <c r="C220" s="70"/>
      <c r="D220" s="70"/>
      <c r="E220" s="70"/>
      <c r="AF220" s="29"/>
      <c r="AH220" s="29"/>
      <c r="AI220" s="29"/>
      <c r="AS220" s="29"/>
      <c r="AU220" s="29"/>
      <c r="AV220" s="29"/>
      <c r="AX220" s="29"/>
      <c r="BC220" s="29"/>
      <c r="BD220" s="29"/>
    </row>
    <row r="221">
      <c r="B221" s="70"/>
      <c r="C221" s="70"/>
      <c r="D221" s="70"/>
      <c r="E221" s="70"/>
      <c r="AF221" s="29"/>
      <c r="AH221" s="29"/>
      <c r="AI221" s="29"/>
      <c r="AS221" s="29"/>
      <c r="AU221" s="29"/>
      <c r="AV221" s="29"/>
      <c r="AX221" s="29"/>
      <c r="BC221" s="29"/>
      <c r="BD221" s="29"/>
    </row>
    <row r="222">
      <c r="B222" s="70"/>
      <c r="C222" s="70"/>
      <c r="D222" s="70"/>
      <c r="E222" s="70"/>
      <c r="AF222" s="29"/>
      <c r="AH222" s="29"/>
      <c r="AI222" s="29"/>
      <c r="AS222" s="29"/>
      <c r="AU222" s="29"/>
      <c r="AV222" s="29"/>
      <c r="AX222" s="29"/>
      <c r="BC222" s="29"/>
      <c r="BD222" s="29"/>
    </row>
    <row r="223">
      <c r="B223" s="70"/>
      <c r="C223" s="70"/>
      <c r="D223" s="70"/>
      <c r="E223" s="70"/>
      <c r="AF223" s="29"/>
      <c r="AH223" s="29"/>
      <c r="AI223" s="29"/>
      <c r="AS223" s="29"/>
      <c r="AU223" s="29"/>
      <c r="AV223" s="29"/>
      <c r="AX223" s="29"/>
      <c r="BC223" s="29"/>
      <c r="BD223" s="29"/>
    </row>
    <row r="224">
      <c r="B224" s="70"/>
      <c r="C224" s="70"/>
      <c r="D224" s="70"/>
      <c r="E224" s="70"/>
      <c r="AF224" s="29"/>
      <c r="AH224" s="29"/>
      <c r="AI224" s="29"/>
      <c r="AS224" s="29"/>
      <c r="AU224" s="29"/>
      <c r="AV224" s="29"/>
      <c r="AX224" s="29"/>
      <c r="BC224" s="29"/>
      <c r="BD224" s="29"/>
    </row>
    <row r="225">
      <c r="B225" s="70"/>
      <c r="C225" s="70"/>
      <c r="D225" s="70"/>
      <c r="E225" s="70"/>
      <c r="AF225" s="29"/>
      <c r="AH225" s="29"/>
      <c r="AI225" s="29"/>
      <c r="AS225" s="29"/>
      <c r="AU225" s="29"/>
      <c r="AV225" s="29"/>
      <c r="AX225" s="29"/>
      <c r="BC225" s="29"/>
      <c r="BD225" s="29"/>
    </row>
    <row r="226">
      <c r="B226" s="70"/>
      <c r="C226" s="70"/>
      <c r="D226" s="70"/>
      <c r="E226" s="70"/>
      <c r="AF226" s="29"/>
      <c r="AH226" s="29"/>
      <c r="AI226" s="29"/>
      <c r="AS226" s="29"/>
      <c r="AU226" s="29"/>
      <c r="AV226" s="29"/>
      <c r="AX226" s="29"/>
      <c r="BC226" s="29"/>
      <c r="BD226" s="29"/>
    </row>
    <row r="227">
      <c r="B227" s="70"/>
      <c r="C227" s="70"/>
      <c r="D227" s="70"/>
      <c r="E227" s="70"/>
      <c r="AF227" s="29"/>
      <c r="AH227" s="29"/>
      <c r="AI227" s="29"/>
      <c r="AS227" s="29"/>
      <c r="AU227" s="29"/>
      <c r="AV227" s="29"/>
      <c r="AX227" s="29"/>
      <c r="BC227" s="29"/>
      <c r="BD227" s="29"/>
    </row>
    <row r="228">
      <c r="B228" s="70"/>
      <c r="C228" s="70"/>
      <c r="D228" s="70"/>
      <c r="E228" s="70"/>
      <c r="AF228" s="29"/>
      <c r="AH228" s="29"/>
      <c r="AI228" s="29"/>
      <c r="AS228" s="29"/>
      <c r="AU228" s="29"/>
      <c r="AV228" s="29"/>
      <c r="AX228" s="29"/>
      <c r="BC228" s="29"/>
      <c r="BD228" s="29"/>
    </row>
    <row r="229">
      <c r="B229" s="70"/>
      <c r="C229" s="70"/>
      <c r="D229" s="70"/>
      <c r="E229" s="70"/>
      <c r="AF229" s="29"/>
      <c r="AH229" s="29"/>
      <c r="AI229" s="29"/>
      <c r="AS229" s="29"/>
      <c r="AU229" s="29"/>
      <c r="AV229" s="29"/>
      <c r="AX229" s="29"/>
      <c r="BC229" s="29"/>
      <c r="BD229" s="29"/>
    </row>
    <row r="230">
      <c r="B230" s="70"/>
      <c r="C230" s="70"/>
      <c r="D230" s="70"/>
      <c r="E230" s="70"/>
      <c r="AF230" s="29"/>
      <c r="AH230" s="29"/>
      <c r="AI230" s="29"/>
      <c r="AS230" s="29"/>
      <c r="AU230" s="29"/>
      <c r="AV230" s="29"/>
      <c r="AX230" s="29"/>
      <c r="BC230" s="29"/>
      <c r="BD230" s="29"/>
    </row>
    <row r="231">
      <c r="B231" s="70"/>
      <c r="C231" s="70"/>
      <c r="D231" s="70"/>
      <c r="E231" s="70"/>
      <c r="AF231" s="29"/>
      <c r="AH231" s="29"/>
      <c r="AI231" s="29"/>
      <c r="AS231" s="29"/>
      <c r="AU231" s="29"/>
      <c r="AV231" s="29"/>
      <c r="AX231" s="29"/>
      <c r="BC231" s="29"/>
      <c r="BD231" s="29"/>
    </row>
    <row r="232">
      <c r="B232" s="70"/>
      <c r="C232" s="70"/>
      <c r="D232" s="70"/>
      <c r="E232" s="70"/>
      <c r="AF232" s="29"/>
      <c r="AH232" s="29"/>
      <c r="AI232" s="29"/>
      <c r="AS232" s="29"/>
      <c r="AU232" s="29"/>
      <c r="AV232" s="29"/>
      <c r="AX232" s="29"/>
      <c r="BC232" s="29"/>
      <c r="BD232" s="29"/>
    </row>
    <row r="233">
      <c r="B233" s="70"/>
      <c r="C233" s="70"/>
      <c r="D233" s="70"/>
      <c r="E233" s="70"/>
      <c r="AF233" s="29"/>
      <c r="AH233" s="29"/>
      <c r="AI233" s="29"/>
      <c r="AS233" s="29"/>
      <c r="AU233" s="29"/>
      <c r="AV233" s="29"/>
      <c r="AX233" s="29"/>
      <c r="BC233" s="29"/>
      <c r="BD233" s="29"/>
    </row>
    <row r="234">
      <c r="B234" s="70"/>
      <c r="C234" s="70"/>
      <c r="D234" s="70"/>
      <c r="E234" s="70"/>
      <c r="AF234" s="29"/>
      <c r="AH234" s="29"/>
      <c r="AI234" s="29"/>
      <c r="AS234" s="29"/>
      <c r="AU234" s="29"/>
      <c r="AV234" s="29"/>
      <c r="AX234" s="29"/>
      <c r="BC234" s="29"/>
      <c r="BD234" s="29"/>
    </row>
    <row r="235">
      <c r="B235" s="70"/>
      <c r="C235" s="70"/>
      <c r="D235" s="70"/>
      <c r="E235" s="70"/>
      <c r="AF235" s="29"/>
      <c r="AH235" s="29"/>
      <c r="AI235" s="29"/>
      <c r="AS235" s="29"/>
      <c r="AU235" s="29"/>
      <c r="AV235" s="29"/>
      <c r="AX235" s="29"/>
      <c r="BC235" s="29"/>
      <c r="BD235" s="29"/>
    </row>
    <row r="236">
      <c r="B236" s="70"/>
      <c r="C236" s="70"/>
      <c r="D236" s="70"/>
      <c r="E236" s="70"/>
      <c r="AF236" s="29"/>
      <c r="AH236" s="29"/>
      <c r="AI236" s="29"/>
      <c r="AS236" s="29"/>
      <c r="AU236" s="29"/>
      <c r="AV236" s="29"/>
      <c r="AX236" s="29"/>
      <c r="BC236" s="29"/>
      <c r="BD236" s="29"/>
    </row>
    <row r="237">
      <c r="B237" s="70"/>
      <c r="C237" s="70"/>
      <c r="D237" s="70"/>
      <c r="E237" s="70"/>
      <c r="AF237" s="29"/>
      <c r="AH237" s="29"/>
      <c r="AI237" s="29"/>
      <c r="AS237" s="29"/>
      <c r="AU237" s="29"/>
      <c r="AV237" s="29"/>
      <c r="AX237" s="29"/>
      <c r="BC237" s="29"/>
      <c r="BD237" s="29"/>
    </row>
    <row r="238">
      <c r="B238" s="70"/>
      <c r="C238" s="70"/>
      <c r="D238" s="70"/>
      <c r="E238" s="70"/>
      <c r="AF238" s="29"/>
      <c r="AH238" s="29"/>
      <c r="AI238" s="29"/>
      <c r="AS238" s="29"/>
      <c r="AU238" s="29"/>
      <c r="AV238" s="29"/>
      <c r="AX238" s="29"/>
      <c r="BC238" s="29"/>
      <c r="BD238" s="29"/>
    </row>
    <row r="239">
      <c r="B239" s="70"/>
      <c r="C239" s="70"/>
      <c r="D239" s="70"/>
      <c r="E239" s="70"/>
      <c r="AF239" s="29"/>
      <c r="AH239" s="29"/>
      <c r="AI239" s="29"/>
      <c r="AS239" s="29"/>
      <c r="AU239" s="29"/>
      <c r="AV239" s="29"/>
      <c r="AX239" s="29"/>
      <c r="BC239" s="29"/>
      <c r="BD239" s="29"/>
    </row>
    <row r="240">
      <c r="B240" s="70"/>
      <c r="C240" s="70"/>
      <c r="D240" s="70"/>
      <c r="E240" s="70"/>
      <c r="AF240" s="29"/>
      <c r="AH240" s="29"/>
      <c r="AI240" s="29"/>
      <c r="AS240" s="29"/>
      <c r="AU240" s="29"/>
      <c r="AV240" s="29"/>
      <c r="AX240" s="29"/>
      <c r="BC240" s="29"/>
      <c r="BD240" s="29"/>
    </row>
    <row r="241">
      <c r="B241" s="70"/>
      <c r="C241" s="70"/>
      <c r="D241" s="70"/>
      <c r="E241" s="70"/>
      <c r="AF241" s="29"/>
      <c r="AH241" s="29"/>
      <c r="AI241" s="29"/>
      <c r="AS241" s="29"/>
      <c r="AU241" s="29"/>
      <c r="AV241" s="29"/>
      <c r="AX241" s="29"/>
      <c r="BC241" s="29"/>
      <c r="BD241" s="29"/>
    </row>
    <row r="242">
      <c r="B242" s="70"/>
      <c r="C242" s="70"/>
      <c r="D242" s="70"/>
      <c r="E242" s="70"/>
      <c r="AF242" s="29"/>
      <c r="AH242" s="29"/>
      <c r="AI242" s="29"/>
      <c r="AS242" s="29"/>
      <c r="AU242" s="29"/>
      <c r="AV242" s="29"/>
      <c r="AX242" s="29"/>
      <c r="BC242" s="29"/>
      <c r="BD242" s="29"/>
    </row>
    <row r="243">
      <c r="B243" s="70"/>
      <c r="C243" s="70"/>
      <c r="D243" s="70"/>
      <c r="E243" s="70"/>
      <c r="AF243" s="29"/>
      <c r="AH243" s="29"/>
      <c r="AI243" s="29"/>
      <c r="AS243" s="29"/>
      <c r="AU243" s="29"/>
      <c r="AV243" s="29"/>
      <c r="AX243" s="29"/>
      <c r="BC243" s="29"/>
      <c r="BD243" s="29"/>
    </row>
    <row r="244">
      <c r="B244" s="70"/>
      <c r="C244" s="70"/>
      <c r="D244" s="70"/>
      <c r="E244" s="70"/>
      <c r="AF244" s="29"/>
      <c r="AH244" s="29"/>
      <c r="AI244" s="29"/>
      <c r="AS244" s="29"/>
      <c r="AU244" s="29"/>
      <c r="AV244" s="29"/>
      <c r="AX244" s="29"/>
      <c r="BC244" s="29"/>
      <c r="BD244" s="29"/>
    </row>
    <row r="245">
      <c r="B245" s="70"/>
      <c r="C245" s="70"/>
      <c r="D245" s="70"/>
      <c r="E245" s="70"/>
      <c r="AF245" s="29"/>
      <c r="AH245" s="29"/>
      <c r="AI245" s="29"/>
      <c r="AS245" s="29"/>
      <c r="AU245" s="29"/>
      <c r="AV245" s="29"/>
      <c r="AX245" s="29"/>
      <c r="BC245" s="29"/>
      <c r="BD245" s="29"/>
    </row>
    <row r="246">
      <c r="B246" s="70"/>
      <c r="C246" s="70"/>
      <c r="D246" s="70"/>
      <c r="E246" s="70"/>
      <c r="AF246" s="29"/>
      <c r="AH246" s="29"/>
      <c r="AI246" s="29"/>
      <c r="AS246" s="29"/>
      <c r="AU246" s="29"/>
      <c r="AV246" s="29"/>
      <c r="AX246" s="29"/>
      <c r="BC246" s="29"/>
      <c r="BD246" s="29"/>
    </row>
    <row r="247">
      <c r="B247" s="70"/>
      <c r="C247" s="70"/>
      <c r="D247" s="70"/>
      <c r="E247" s="70"/>
      <c r="AF247" s="29"/>
      <c r="AH247" s="29"/>
      <c r="AI247" s="29"/>
      <c r="AS247" s="29"/>
      <c r="AU247" s="29"/>
      <c r="AV247" s="29"/>
      <c r="AX247" s="29"/>
      <c r="BC247" s="29"/>
      <c r="BD247" s="29"/>
    </row>
    <row r="248">
      <c r="B248" s="70"/>
      <c r="C248" s="70"/>
      <c r="D248" s="70"/>
      <c r="E248" s="70"/>
      <c r="AF248" s="29"/>
      <c r="AH248" s="29"/>
      <c r="AI248" s="29"/>
      <c r="AS248" s="29"/>
      <c r="AU248" s="29"/>
      <c r="AV248" s="29"/>
      <c r="AX248" s="29"/>
      <c r="BC248" s="29"/>
      <c r="BD248" s="29"/>
    </row>
    <row r="249">
      <c r="B249" s="70"/>
      <c r="C249" s="70"/>
      <c r="D249" s="70"/>
      <c r="E249" s="70"/>
      <c r="AF249" s="29"/>
      <c r="AH249" s="29"/>
      <c r="AI249" s="29"/>
      <c r="AS249" s="29"/>
      <c r="AU249" s="29"/>
      <c r="AV249" s="29"/>
      <c r="AX249" s="29"/>
      <c r="BC249" s="29"/>
      <c r="BD249" s="29"/>
    </row>
    <row r="250">
      <c r="B250" s="70"/>
      <c r="C250" s="70"/>
      <c r="D250" s="70"/>
      <c r="E250" s="70"/>
      <c r="AF250" s="29"/>
      <c r="AH250" s="29"/>
      <c r="AI250" s="29"/>
      <c r="AS250" s="29"/>
      <c r="AU250" s="29"/>
      <c r="AV250" s="29"/>
      <c r="AX250" s="29"/>
      <c r="BC250" s="29"/>
      <c r="BD250" s="29"/>
    </row>
    <row r="251">
      <c r="B251" s="70"/>
      <c r="C251" s="70"/>
      <c r="D251" s="70"/>
      <c r="E251" s="70"/>
      <c r="AF251" s="29"/>
      <c r="AH251" s="29"/>
      <c r="AI251" s="29"/>
      <c r="AS251" s="29"/>
      <c r="AU251" s="29"/>
      <c r="AV251" s="29"/>
      <c r="AX251" s="29"/>
      <c r="BC251" s="29"/>
      <c r="BD251" s="29"/>
    </row>
    <row r="252">
      <c r="B252" s="70"/>
      <c r="C252" s="70"/>
      <c r="D252" s="70"/>
      <c r="E252" s="70"/>
      <c r="AF252" s="29"/>
      <c r="AH252" s="29"/>
      <c r="AI252" s="29"/>
      <c r="AS252" s="29"/>
      <c r="AU252" s="29"/>
      <c r="AV252" s="29"/>
      <c r="AX252" s="29"/>
      <c r="BC252" s="29"/>
      <c r="BD252" s="29"/>
    </row>
    <row r="253">
      <c r="B253" s="70"/>
      <c r="C253" s="70"/>
      <c r="D253" s="70"/>
      <c r="E253" s="70"/>
      <c r="AF253" s="29"/>
      <c r="AH253" s="29"/>
      <c r="AI253" s="29"/>
      <c r="AS253" s="29"/>
      <c r="AU253" s="29"/>
      <c r="AV253" s="29"/>
      <c r="AX253" s="29"/>
      <c r="BC253" s="29"/>
      <c r="BD253" s="29"/>
    </row>
    <row r="254">
      <c r="B254" s="70"/>
      <c r="C254" s="70"/>
      <c r="D254" s="70"/>
      <c r="E254" s="70"/>
      <c r="AF254" s="29"/>
      <c r="AH254" s="29"/>
      <c r="AI254" s="29"/>
      <c r="AS254" s="29"/>
      <c r="AU254" s="29"/>
      <c r="AV254" s="29"/>
      <c r="AX254" s="29"/>
      <c r="BC254" s="29"/>
      <c r="BD254" s="29"/>
    </row>
    <row r="255">
      <c r="B255" s="70"/>
      <c r="C255" s="70"/>
      <c r="D255" s="70"/>
      <c r="E255" s="70"/>
      <c r="AF255" s="29"/>
      <c r="AH255" s="29"/>
      <c r="AI255" s="29"/>
      <c r="AS255" s="29"/>
      <c r="AU255" s="29"/>
      <c r="AV255" s="29"/>
      <c r="AX255" s="29"/>
      <c r="BC255" s="29"/>
      <c r="BD255" s="29"/>
    </row>
    <row r="256">
      <c r="B256" s="70"/>
      <c r="C256" s="70"/>
      <c r="D256" s="70"/>
      <c r="E256" s="70"/>
      <c r="AF256" s="29"/>
      <c r="AH256" s="29"/>
      <c r="AI256" s="29"/>
      <c r="AS256" s="29"/>
      <c r="AU256" s="29"/>
      <c r="AV256" s="29"/>
      <c r="AX256" s="29"/>
      <c r="BC256" s="29"/>
      <c r="BD256" s="29"/>
    </row>
    <row r="257">
      <c r="B257" s="70"/>
      <c r="C257" s="70"/>
      <c r="D257" s="70"/>
      <c r="E257" s="70"/>
      <c r="AF257" s="29"/>
      <c r="AH257" s="29"/>
      <c r="AI257" s="29"/>
      <c r="AS257" s="29"/>
      <c r="AU257" s="29"/>
      <c r="AV257" s="29"/>
      <c r="AX257" s="29"/>
      <c r="BC257" s="29"/>
      <c r="BD257" s="29"/>
    </row>
    <row r="258">
      <c r="B258" s="70"/>
      <c r="C258" s="70"/>
      <c r="D258" s="70"/>
      <c r="E258" s="70"/>
      <c r="AF258" s="29"/>
      <c r="AH258" s="29"/>
      <c r="AI258" s="29"/>
      <c r="AS258" s="29"/>
      <c r="AU258" s="29"/>
      <c r="AV258" s="29"/>
      <c r="AX258" s="29"/>
      <c r="BC258" s="29"/>
      <c r="BD258" s="29"/>
    </row>
    <row r="259">
      <c r="B259" s="70"/>
      <c r="C259" s="70"/>
      <c r="D259" s="70"/>
      <c r="E259" s="70"/>
      <c r="AF259" s="29"/>
      <c r="AH259" s="29"/>
      <c r="AI259" s="29"/>
      <c r="AS259" s="29"/>
      <c r="AU259" s="29"/>
      <c r="AV259" s="29"/>
      <c r="AX259" s="29"/>
      <c r="BC259" s="29"/>
      <c r="BD259" s="29"/>
    </row>
    <row r="260">
      <c r="B260" s="70"/>
      <c r="C260" s="70"/>
      <c r="D260" s="70"/>
      <c r="E260" s="70"/>
      <c r="AF260" s="29"/>
      <c r="AH260" s="29"/>
      <c r="AI260" s="29"/>
      <c r="AS260" s="29"/>
      <c r="AU260" s="29"/>
      <c r="AV260" s="29"/>
      <c r="AX260" s="29"/>
      <c r="BC260" s="29"/>
      <c r="BD260" s="29"/>
    </row>
    <row r="261">
      <c r="B261" s="70"/>
      <c r="C261" s="70"/>
      <c r="D261" s="70"/>
      <c r="E261" s="70"/>
      <c r="AF261" s="29"/>
      <c r="AH261" s="29"/>
      <c r="AI261" s="29"/>
      <c r="AS261" s="29"/>
      <c r="AU261" s="29"/>
      <c r="AV261" s="29"/>
      <c r="AX261" s="29"/>
      <c r="BC261" s="29"/>
      <c r="BD261" s="29"/>
    </row>
    <row r="262">
      <c r="B262" s="70"/>
      <c r="C262" s="70"/>
      <c r="D262" s="70"/>
      <c r="E262" s="70"/>
      <c r="AF262" s="29"/>
      <c r="AH262" s="29"/>
      <c r="AI262" s="29"/>
      <c r="AS262" s="29"/>
      <c r="AU262" s="29"/>
      <c r="AV262" s="29"/>
      <c r="AX262" s="29"/>
      <c r="BC262" s="29"/>
      <c r="BD262" s="29"/>
    </row>
    <row r="263">
      <c r="B263" s="70"/>
      <c r="C263" s="70"/>
      <c r="D263" s="70"/>
      <c r="E263" s="70"/>
      <c r="AF263" s="29"/>
      <c r="AH263" s="29"/>
      <c r="AI263" s="29"/>
      <c r="AS263" s="29"/>
      <c r="AU263" s="29"/>
      <c r="AV263" s="29"/>
      <c r="AX263" s="29"/>
      <c r="BC263" s="29"/>
      <c r="BD263" s="29"/>
    </row>
    <row r="264">
      <c r="B264" s="70"/>
      <c r="C264" s="70"/>
      <c r="D264" s="70"/>
      <c r="E264" s="70"/>
      <c r="AF264" s="29"/>
      <c r="AH264" s="29"/>
      <c r="AI264" s="29"/>
      <c r="AS264" s="29"/>
      <c r="AU264" s="29"/>
      <c r="AV264" s="29"/>
      <c r="AX264" s="29"/>
      <c r="BC264" s="29"/>
      <c r="BD264" s="29"/>
    </row>
    <row r="265">
      <c r="B265" s="70"/>
      <c r="C265" s="70"/>
      <c r="D265" s="70"/>
      <c r="E265" s="70"/>
      <c r="AF265" s="29"/>
      <c r="AH265" s="29"/>
      <c r="AI265" s="29"/>
      <c r="AS265" s="29"/>
      <c r="AU265" s="29"/>
      <c r="AV265" s="29"/>
      <c r="AX265" s="29"/>
      <c r="BC265" s="29"/>
      <c r="BD265" s="29"/>
    </row>
    <row r="266">
      <c r="B266" s="70"/>
      <c r="C266" s="70"/>
      <c r="D266" s="70"/>
      <c r="E266" s="70"/>
      <c r="AF266" s="29"/>
      <c r="AH266" s="29"/>
      <c r="AI266" s="29"/>
      <c r="AS266" s="29"/>
      <c r="AU266" s="29"/>
      <c r="AV266" s="29"/>
      <c r="AX266" s="29"/>
      <c r="BC266" s="29"/>
      <c r="BD266" s="29"/>
    </row>
    <row r="267">
      <c r="B267" s="70"/>
      <c r="C267" s="70"/>
      <c r="D267" s="70"/>
      <c r="E267" s="70"/>
      <c r="AF267" s="29"/>
      <c r="AH267" s="29"/>
      <c r="AI267" s="29"/>
      <c r="AS267" s="29"/>
      <c r="AU267" s="29"/>
      <c r="AV267" s="29"/>
      <c r="AX267" s="29"/>
      <c r="BC267" s="29"/>
      <c r="BD267" s="29"/>
    </row>
    <row r="268">
      <c r="B268" s="70"/>
      <c r="C268" s="70"/>
      <c r="D268" s="70"/>
      <c r="E268" s="70"/>
      <c r="AF268" s="29"/>
      <c r="AH268" s="29"/>
      <c r="AI268" s="29"/>
      <c r="AS268" s="29"/>
      <c r="AU268" s="29"/>
      <c r="AV268" s="29"/>
      <c r="AX268" s="29"/>
      <c r="BC268" s="29"/>
      <c r="BD268" s="29"/>
    </row>
    <row r="269">
      <c r="B269" s="70"/>
      <c r="C269" s="70"/>
      <c r="D269" s="70"/>
      <c r="E269" s="70"/>
      <c r="AF269" s="29"/>
      <c r="AH269" s="29"/>
      <c r="AI269" s="29"/>
      <c r="AS269" s="29"/>
      <c r="AU269" s="29"/>
      <c r="AV269" s="29"/>
      <c r="AX269" s="29"/>
      <c r="BC269" s="29"/>
      <c r="BD269" s="29"/>
    </row>
    <row r="270">
      <c r="B270" s="70"/>
      <c r="C270" s="70"/>
      <c r="D270" s="70"/>
      <c r="E270" s="70"/>
      <c r="AF270" s="29"/>
      <c r="AH270" s="29"/>
      <c r="AI270" s="29"/>
      <c r="AS270" s="29"/>
      <c r="AU270" s="29"/>
      <c r="AV270" s="29"/>
      <c r="AX270" s="29"/>
      <c r="BC270" s="29"/>
      <c r="BD270" s="29"/>
    </row>
    <row r="271">
      <c r="B271" s="70"/>
      <c r="C271" s="70"/>
      <c r="D271" s="70"/>
      <c r="E271" s="70"/>
      <c r="AF271" s="29"/>
      <c r="AH271" s="29"/>
      <c r="AI271" s="29"/>
      <c r="AS271" s="29"/>
      <c r="AU271" s="29"/>
      <c r="AV271" s="29"/>
      <c r="AX271" s="29"/>
      <c r="BC271" s="29"/>
      <c r="BD271" s="29"/>
    </row>
    <row r="272">
      <c r="B272" s="70"/>
      <c r="C272" s="70"/>
      <c r="D272" s="70"/>
      <c r="E272" s="70"/>
      <c r="AF272" s="29"/>
      <c r="AH272" s="29"/>
      <c r="AI272" s="29"/>
      <c r="AS272" s="29"/>
      <c r="AU272" s="29"/>
      <c r="AV272" s="29"/>
      <c r="AX272" s="29"/>
      <c r="BC272" s="29"/>
      <c r="BD272" s="29"/>
    </row>
    <row r="273">
      <c r="B273" s="70"/>
      <c r="C273" s="70"/>
      <c r="D273" s="70"/>
      <c r="E273" s="70"/>
      <c r="AF273" s="29"/>
      <c r="AH273" s="29"/>
      <c r="AI273" s="29"/>
      <c r="AS273" s="29"/>
      <c r="AU273" s="29"/>
      <c r="AV273" s="29"/>
      <c r="AX273" s="29"/>
      <c r="BC273" s="29"/>
      <c r="BD273" s="29"/>
    </row>
    <row r="274">
      <c r="B274" s="70"/>
      <c r="C274" s="70"/>
      <c r="D274" s="70"/>
      <c r="E274" s="70"/>
      <c r="AF274" s="29"/>
      <c r="AH274" s="29"/>
      <c r="AI274" s="29"/>
      <c r="AS274" s="29"/>
      <c r="AU274" s="29"/>
      <c r="AV274" s="29"/>
      <c r="AX274" s="29"/>
      <c r="BC274" s="29"/>
      <c r="BD274" s="29"/>
    </row>
    <row r="275">
      <c r="B275" s="70"/>
      <c r="C275" s="70"/>
      <c r="D275" s="70"/>
      <c r="E275" s="70"/>
      <c r="AF275" s="29"/>
      <c r="AH275" s="29"/>
      <c r="AI275" s="29"/>
      <c r="AS275" s="29"/>
      <c r="AU275" s="29"/>
      <c r="AV275" s="29"/>
      <c r="AX275" s="29"/>
      <c r="BC275" s="29"/>
      <c r="BD275" s="29"/>
    </row>
    <row r="276">
      <c r="B276" s="70"/>
      <c r="C276" s="70"/>
      <c r="D276" s="70"/>
      <c r="E276" s="70"/>
      <c r="AF276" s="29"/>
      <c r="AH276" s="29"/>
      <c r="AI276" s="29"/>
      <c r="AS276" s="29"/>
      <c r="AU276" s="29"/>
      <c r="AV276" s="29"/>
      <c r="AX276" s="29"/>
      <c r="BC276" s="29"/>
      <c r="BD276" s="29"/>
    </row>
    <row r="277">
      <c r="B277" s="70"/>
      <c r="C277" s="70"/>
      <c r="D277" s="70"/>
      <c r="E277" s="70"/>
      <c r="AF277" s="29"/>
      <c r="AH277" s="29"/>
      <c r="AI277" s="29"/>
      <c r="AS277" s="29"/>
      <c r="AU277" s="29"/>
      <c r="AV277" s="29"/>
      <c r="AX277" s="29"/>
      <c r="BC277" s="29"/>
      <c r="BD277" s="29"/>
    </row>
    <row r="278">
      <c r="B278" s="70"/>
      <c r="C278" s="70"/>
      <c r="D278" s="70"/>
      <c r="E278" s="70"/>
      <c r="AF278" s="29"/>
      <c r="AH278" s="29"/>
      <c r="AI278" s="29"/>
      <c r="AS278" s="29"/>
      <c r="AU278" s="29"/>
      <c r="AV278" s="29"/>
      <c r="AX278" s="29"/>
      <c r="BC278" s="29"/>
      <c r="BD278" s="29"/>
    </row>
    <row r="279">
      <c r="B279" s="70"/>
      <c r="C279" s="70"/>
      <c r="D279" s="70"/>
      <c r="E279" s="70"/>
      <c r="AF279" s="29"/>
      <c r="AH279" s="29"/>
      <c r="AI279" s="29"/>
      <c r="AS279" s="29"/>
      <c r="AU279" s="29"/>
      <c r="AV279" s="29"/>
      <c r="AX279" s="29"/>
      <c r="BC279" s="29"/>
      <c r="BD279" s="29"/>
    </row>
    <row r="280">
      <c r="B280" s="70"/>
      <c r="C280" s="70"/>
      <c r="D280" s="70"/>
      <c r="E280" s="70"/>
      <c r="AF280" s="29"/>
      <c r="AH280" s="29"/>
      <c r="AI280" s="29"/>
      <c r="AS280" s="29"/>
      <c r="AU280" s="29"/>
      <c r="AV280" s="29"/>
      <c r="AX280" s="29"/>
      <c r="BC280" s="29"/>
      <c r="BD280" s="29"/>
    </row>
    <row r="281">
      <c r="B281" s="70"/>
      <c r="C281" s="70"/>
      <c r="D281" s="70"/>
      <c r="E281" s="70"/>
      <c r="AF281" s="29"/>
      <c r="AH281" s="29"/>
      <c r="AI281" s="29"/>
      <c r="AS281" s="29"/>
      <c r="AU281" s="29"/>
      <c r="AV281" s="29"/>
      <c r="AX281" s="29"/>
      <c r="BC281" s="29"/>
      <c r="BD281" s="29"/>
    </row>
    <row r="282">
      <c r="B282" s="70"/>
      <c r="C282" s="70"/>
      <c r="D282" s="70"/>
      <c r="E282" s="70"/>
      <c r="AF282" s="29"/>
      <c r="AH282" s="29"/>
      <c r="AI282" s="29"/>
      <c r="AS282" s="29"/>
      <c r="AU282" s="29"/>
      <c r="AV282" s="29"/>
      <c r="AX282" s="29"/>
      <c r="BC282" s="29"/>
      <c r="BD282" s="29"/>
    </row>
    <row r="283">
      <c r="B283" s="70"/>
      <c r="C283" s="70"/>
      <c r="D283" s="70"/>
      <c r="E283" s="70"/>
      <c r="AF283" s="29"/>
      <c r="AH283" s="29"/>
      <c r="AI283" s="29"/>
      <c r="AS283" s="29"/>
      <c r="AU283" s="29"/>
      <c r="AV283" s="29"/>
      <c r="AX283" s="29"/>
      <c r="BC283" s="29"/>
      <c r="BD283" s="29"/>
    </row>
    <row r="284">
      <c r="B284" s="70"/>
      <c r="C284" s="70"/>
      <c r="D284" s="70"/>
      <c r="E284" s="70"/>
      <c r="AF284" s="29"/>
      <c r="AH284" s="29"/>
      <c r="AI284" s="29"/>
      <c r="AS284" s="29"/>
      <c r="AU284" s="29"/>
      <c r="AV284" s="29"/>
      <c r="AX284" s="29"/>
      <c r="BC284" s="29"/>
      <c r="BD284" s="29"/>
    </row>
    <row r="285">
      <c r="B285" s="70"/>
      <c r="C285" s="70"/>
      <c r="D285" s="70"/>
      <c r="E285" s="70"/>
      <c r="AF285" s="29"/>
      <c r="AH285" s="29"/>
      <c r="AI285" s="29"/>
      <c r="AS285" s="29"/>
      <c r="AU285" s="29"/>
      <c r="AV285" s="29"/>
      <c r="AX285" s="29"/>
      <c r="BC285" s="29"/>
      <c r="BD285" s="29"/>
    </row>
    <row r="286">
      <c r="B286" s="70"/>
      <c r="C286" s="70"/>
      <c r="D286" s="70"/>
      <c r="E286" s="70"/>
      <c r="AF286" s="29"/>
      <c r="AH286" s="29"/>
      <c r="AI286" s="29"/>
      <c r="AS286" s="29"/>
      <c r="AU286" s="29"/>
      <c r="AV286" s="29"/>
      <c r="AX286" s="29"/>
      <c r="BC286" s="29"/>
      <c r="BD286" s="29"/>
    </row>
    <row r="287">
      <c r="B287" s="70"/>
      <c r="C287" s="70"/>
      <c r="D287" s="70"/>
      <c r="E287" s="70"/>
      <c r="AF287" s="29"/>
      <c r="AH287" s="29"/>
      <c r="AI287" s="29"/>
      <c r="AS287" s="29"/>
      <c r="AU287" s="29"/>
      <c r="AV287" s="29"/>
      <c r="AX287" s="29"/>
      <c r="BC287" s="29"/>
      <c r="BD287" s="29"/>
    </row>
    <row r="288">
      <c r="B288" s="70"/>
      <c r="C288" s="70"/>
      <c r="D288" s="70"/>
      <c r="E288" s="70"/>
      <c r="AF288" s="29"/>
      <c r="AH288" s="29"/>
      <c r="AI288" s="29"/>
      <c r="AS288" s="29"/>
      <c r="AU288" s="29"/>
      <c r="AV288" s="29"/>
      <c r="AX288" s="29"/>
      <c r="BC288" s="29"/>
      <c r="BD288" s="29"/>
    </row>
    <row r="289">
      <c r="B289" s="70"/>
      <c r="C289" s="70"/>
      <c r="D289" s="70"/>
      <c r="E289" s="70"/>
      <c r="AF289" s="29"/>
      <c r="AH289" s="29"/>
      <c r="AI289" s="29"/>
      <c r="AS289" s="29"/>
      <c r="AU289" s="29"/>
      <c r="AV289" s="29"/>
      <c r="AX289" s="29"/>
      <c r="BC289" s="29"/>
      <c r="BD289" s="29"/>
    </row>
    <row r="290">
      <c r="B290" s="70"/>
      <c r="C290" s="70"/>
      <c r="D290" s="70"/>
      <c r="E290" s="70"/>
      <c r="AF290" s="29"/>
      <c r="AH290" s="29"/>
      <c r="AI290" s="29"/>
      <c r="AS290" s="29"/>
      <c r="AU290" s="29"/>
      <c r="AV290" s="29"/>
      <c r="AX290" s="29"/>
      <c r="BC290" s="29"/>
      <c r="BD290" s="29"/>
    </row>
    <row r="291">
      <c r="B291" s="70"/>
      <c r="C291" s="70"/>
      <c r="D291" s="70"/>
      <c r="E291" s="70"/>
      <c r="AF291" s="29"/>
      <c r="AH291" s="29"/>
      <c r="AI291" s="29"/>
      <c r="AS291" s="29"/>
      <c r="AU291" s="29"/>
      <c r="AV291" s="29"/>
      <c r="AX291" s="29"/>
      <c r="BC291" s="29"/>
      <c r="BD291" s="29"/>
    </row>
    <row r="292">
      <c r="B292" s="70"/>
      <c r="C292" s="70"/>
      <c r="D292" s="70"/>
      <c r="E292" s="70"/>
      <c r="AF292" s="29"/>
      <c r="AH292" s="29"/>
      <c r="AI292" s="29"/>
      <c r="AS292" s="29"/>
      <c r="AU292" s="29"/>
      <c r="AV292" s="29"/>
      <c r="AX292" s="29"/>
      <c r="BC292" s="29"/>
      <c r="BD292" s="29"/>
    </row>
    <row r="293">
      <c r="B293" s="70"/>
      <c r="C293" s="70"/>
      <c r="D293" s="70"/>
      <c r="E293" s="70"/>
      <c r="AF293" s="29"/>
      <c r="AH293" s="29"/>
      <c r="AI293" s="29"/>
      <c r="AS293" s="29"/>
      <c r="AU293" s="29"/>
      <c r="AV293" s="29"/>
      <c r="AX293" s="29"/>
      <c r="BC293" s="29"/>
      <c r="BD293" s="29"/>
    </row>
    <row r="294">
      <c r="B294" s="70"/>
      <c r="C294" s="70"/>
      <c r="D294" s="70"/>
      <c r="E294" s="70"/>
      <c r="AF294" s="29"/>
      <c r="AH294" s="29"/>
      <c r="AI294" s="29"/>
      <c r="AS294" s="29"/>
      <c r="AU294" s="29"/>
      <c r="AV294" s="29"/>
      <c r="AX294" s="29"/>
      <c r="BC294" s="29"/>
      <c r="BD294" s="29"/>
    </row>
    <row r="295">
      <c r="B295" s="70"/>
      <c r="C295" s="70"/>
      <c r="D295" s="70"/>
      <c r="E295" s="70"/>
      <c r="AF295" s="29"/>
      <c r="AH295" s="29"/>
      <c r="AI295" s="29"/>
      <c r="AS295" s="29"/>
      <c r="AU295" s="29"/>
      <c r="AV295" s="29"/>
      <c r="AX295" s="29"/>
      <c r="BC295" s="29"/>
      <c r="BD295" s="29"/>
    </row>
    <row r="296">
      <c r="B296" s="70"/>
      <c r="C296" s="70"/>
      <c r="D296" s="70"/>
      <c r="E296" s="70"/>
      <c r="AF296" s="29"/>
      <c r="AH296" s="29"/>
      <c r="AI296" s="29"/>
      <c r="AS296" s="29"/>
      <c r="AU296" s="29"/>
      <c r="AV296" s="29"/>
      <c r="AX296" s="29"/>
      <c r="BC296" s="29"/>
      <c r="BD296" s="29"/>
    </row>
    <row r="297">
      <c r="B297" s="70"/>
      <c r="C297" s="70"/>
      <c r="D297" s="70"/>
      <c r="E297" s="70"/>
      <c r="AF297" s="29"/>
      <c r="AH297" s="29"/>
      <c r="AI297" s="29"/>
      <c r="AS297" s="29"/>
      <c r="AU297" s="29"/>
      <c r="AV297" s="29"/>
      <c r="AX297" s="29"/>
      <c r="BC297" s="29"/>
      <c r="BD297" s="29"/>
    </row>
    <row r="298">
      <c r="B298" s="70"/>
      <c r="C298" s="70"/>
      <c r="D298" s="70"/>
      <c r="E298" s="70"/>
      <c r="AF298" s="29"/>
      <c r="AH298" s="29"/>
      <c r="AI298" s="29"/>
      <c r="AS298" s="29"/>
      <c r="AU298" s="29"/>
      <c r="AV298" s="29"/>
      <c r="AX298" s="29"/>
      <c r="BC298" s="29"/>
      <c r="BD298" s="29"/>
    </row>
    <row r="299">
      <c r="B299" s="70"/>
      <c r="C299" s="70"/>
      <c r="D299" s="70"/>
      <c r="E299" s="70"/>
      <c r="AF299" s="29"/>
      <c r="AH299" s="29"/>
      <c r="AI299" s="29"/>
      <c r="AS299" s="29"/>
      <c r="AU299" s="29"/>
      <c r="AV299" s="29"/>
      <c r="AX299" s="29"/>
      <c r="BC299" s="29"/>
      <c r="BD299" s="29"/>
    </row>
    <row r="300">
      <c r="B300" s="70"/>
      <c r="C300" s="70"/>
      <c r="D300" s="70"/>
      <c r="E300" s="70"/>
      <c r="AF300" s="29"/>
      <c r="AH300" s="29"/>
      <c r="AI300" s="29"/>
      <c r="AS300" s="29"/>
      <c r="AU300" s="29"/>
      <c r="AV300" s="29"/>
      <c r="AX300" s="29"/>
      <c r="BC300" s="29"/>
      <c r="BD300" s="29"/>
    </row>
    <row r="301">
      <c r="B301" s="70"/>
      <c r="C301" s="70"/>
      <c r="D301" s="70"/>
      <c r="E301" s="70"/>
      <c r="AF301" s="29"/>
      <c r="AH301" s="29"/>
      <c r="AI301" s="29"/>
      <c r="AS301" s="29"/>
      <c r="AU301" s="29"/>
      <c r="AV301" s="29"/>
      <c r="AX301" s="29"/>
      <c r="BC301" s="29"/>
      <c r="BD301" s="29"/>
    </row>
    <row r="302">
      <c r="B302" s="70"/>
      <c r="C302" s="70"/>
      <c r="D302" s="70"/>
      <c r="E302" s="70"/>
      <c r="AF302" s="29"/>
      <c r="AH302" s="29"/>
      <c r="AI302" s="29"/>
      <c r="AS302" s="29"/>
      <c r="AU302" s="29"/>
      <c r="AV302" s="29"/>
      <c r="AX302" s="29"/>
      <c r="BC302" s="29"/>
      <c r="BD302" s="29"/>
    </row>
    <row r="303">
      <c r="B303" s="70"/>
      <c r="C303" s="70"/>
      <c r="D303" s="70"/>
      <c r="E303" s="70"/>
      <c r="AF303" s="29"/>
      <c r="AH303" s="29"/>
      <c r="AI303" s="29"/>
      <c r="AS303" s="29"/>
      <c r="AU303" s="29"/>
      <c r="AV303" s="29"/>
      <c r="AX303" s="29"/>
      <c r="BC303" s="29"/>
      <c r="BD303" s="29"/>
    </row>
    <row r="304">
      <c r="B304" s="70"/>
      <c r="C304" s="70"/>
      <c r="D304" s="70"/>
      <c r="E304" s="70"/>
      <c r="AF304" s="29"/>
      <c r="AH304" s="29"/>
      <c r="AI304" s="29"/>
      <c r="AS304" s="29"/>
      <c r="AU304" s="29"/>
      <c r="AV304" s="29"/>
      <c r="AX304" s="29"/>
      <c r="BC304" s="29"/>
      <c r="BD304" s="29"/>
    </row>
    <row r="305">
      <c r="B305" s="70"/>
      <c r="C305" s="70"/>
      <c r="D305" s="70"/>
      <c r="E305" s="70"/>
      <c r="AF305" s="29"/>
      <c r="AH305" s="29"/>
      <c r="AI305" s="29"/>
      <c r="AS305" s="29"/>
      <c r="AU305" s="29"/>
      <c r="AV305" s="29"/>
      <c r="AX305" s="29"/>
      <c r="BC305" s="29"/>
      <c r="BD305" s="29"/>
    </row>
    <row r="306">
      <c r="B306" s="70"/>
      <c r="C306" s="70"/>
      <c r="D306" s="70"/>
      <c r="E306" s="70"/>
      <c r="AF306" s="29"/>
      <c r="AH306" s="29"/>
      <c r="AI306" s="29"/>
      <c r="AS306" s="29"/>
      <c r="AU306" s="29"/>
      <c r="AV306" s="29"/>
      <c r="AX306" s="29"/>
      <c r="BC306" s="29"/>
      <c r="BD306" s="29"/>
    </row>
    <row r="307">
      <c r="B307" s="70"/>
      <c r="C307" s="70"/>
      <c r="D307" s="70"/>
      <c r="E307" s="70"/>
      <c r="AF307" s="29"/>
      <c r="AH307" s="29"/>
      <c r="AI307" s="29"/>
      <c r="AS307" s="29"/>
      <c r="AU307" s="29"/>
      <c r="AV307" s="29"/>
      <c r="AX307" s="29"/>
      <c r="BC307" s="29"/>
      <c r="BD307" s="29"/>
    </row>
    <row r="308">
      <c r="B308" s="70"/>
      <c r="C308" s="70"/>
      <c r="D308" s="70"/>
      <c r="E308" s="70"/>
      <c r="AF308" s="29"/>
      <c r="AH308" s="29"/>
      <c r="AI308" s="29"/>
      <c r="AS308" s="29"/>
      <c r="AU308" s="29"/>
      <c r="AV308" s="29"/>
      <c r="AX308" s="29"/>
      <c r="BC308" s="29"/>
      <c r="BD308" s="29"/>
    </row>
    <row r="309">
      <c r="B309" s="70"/>
      <c r="C309" s="70"/>
      <c r="D309" s="70"/>
      <c r="E309" s="70"/>
      <c r="AF309" s="29"/>
      <c r="AH309" s="29"/>
      <c r="AI309" s="29"/>
      <c r="AS309" s="29"/>
      <c r="AU309" s="29"/>
      <c r="AV309" s="29"/>
      <c r="AX309" s="29"/>
      <c r="BC309" s="29"/>
      <c r="BD309" s="29"/>
    </row>
    <row r="310">
      <c r="B310" s="70"/>
      <c r="C310" s="70"/>
      <c r="D310" s="70"/>
      <c r="E310" s="70"/>
      <c r="AF310" s="29"/>
      <c r="AH310" s="29"/>
      <c r="AI310" s="29"/>
      <c r="AS310" s="29"/>
      <c r="AU310" s="29"/>
      <c r="AV310" s="29"/>
      <c r="AX310" s="29"/>
      <c r="BC310" s="29"/>
      <c r="BD310" s="29"/>
    </row>
    <row r="311">
      <c r="B311" s="70"/>
      <c r="C311" s="70"/>
      <c r="D311" s="70"/>
      <c r="E311" s="70"/>
      <c r="AF311" s="29"/>
      <c r="AH311" s="29"/>
      <c r="AI311" s="29"/>
      <c r="AS311" s="29"/>
      <c r="AU311" s="29"/>
      <c r="AV311" s="29"/>
      <c r="AX311" s="29"/>
      <c r="BC311" s="29"/>
      <c r="BD311" s="29"/>
    </row>
    <row r="312">
      <c r="B312" s="70"/>
      <c r="C312" s="70"/>
      <c r="D312" s="70"/>
      <c r="E312" s="70"/>
      <c r="AF312" s="29"/>
      <c r="AH312" s="29"/>
      <c r="AI312" s="29"/>
      <c r="AS312" s="29"/>
      <c r="AU312" s="29"/>
      <c r="AV312" s="29"/>
      <c r="AX312" s="29"/>
      <c r="BC312" s="29"/>
      <c r="BD312" s="29"/>
    </row>
    <row r="313">
      <c r="B313" s="70"/>
      <c r="C313" s="70"/>
      <c r="D313" s="70"/>
      <c r="E313" s="70"/>
      <c r="AF313" s="29"/>
      <c r="AH313" s="29"/>
      <c r="AI313" s="29"/>
      <c r="AS313" s="29"/>
      <c r="AU313" s="29"/>
      <c r="AV313" s="29"/>
      <c r="AX313" s="29"/>
      <c r="BC313" s="29"/>
      <c r="BD313" s="29"/>
    </row>
    <row r="314">
      <c r="B314" s="70"/>
      <c r="C314" s="70"/>
      <c r="D314" s="70"/>
      <c r="E314" s="70"/>
      <c r="AF314" s="29"/>
      <c r="AH314" s="29"/>
      <c r="AI314" s="29"/>
      <c r="AS314" s="29"/>
      <c r="AU314" s="29"/>
      <c r="AV314" s="29"/>
      <c r="AX314" s="29"/>
      <c r="BC314" s="29"/>
      <c r="BD314" s="29"/>
    </row>
    <row r="315">
      <c r="B315" s="70"/>
      <c r="C315" s="70"/>
      <c r="D315" s="70"/>
      <c r="E315" s="70"/>
      <c r="AF315" s="29"/>
      <c r="AH315" s="29"/>
      <c r="AI315" s="29"/>
      <c r="AS315" s="29"/>
      <c r="AU315" s="29"/>
      <c r="AV315" s="29"/>
      <c r="AX315" s="29"/>
      <c r="BC315" s="29"/>
      <c r="BD315" s="29"/>
    </row>
    <row r="316">
      <c r="B316" s="70"/>
      <c r="C316" s="70"/>
      <c r="D316" s="70"/>
      <c r="E316" s="70"/>
      <c r="AF316" s="29"/>
      <c r="AH316" s="29"/>
      <c r="AI316" s="29"/>
      <c r="AS316" s="29"/>
      <c r="AU316" s="29"/>
      <c r="AV316" s="29"/>
      <c r="AX316" s="29"/>
      <c r="BC316" s="29"/>
      <c r="BD316" s="29"/>
    </row>
    <row r="317">
      <c r="B317" s="70"/>
      <c r="C317" s="70"/>
      <c r="D317" s="70"/>
      <c r="E317" s="70"/>
      <c r="AF317" s="29"/>
      <c r="AH317" s="29"/>
      <c r="AI317" s="29"/>
      <c r="AS317" s="29"/>
      <c r="AU317" s="29"/>
      <c r="AV317" s="29"/>
      <c r="AX317" s="29"/>
      <c r="BC317" s="29"/>
      <c r="BD317" s="29"/>
    </row>
    <row r="318">
      <c r="B318" s="70"/>
      <c r="C318" s="70"/>
      <c r="D318" s="70"/>
      <c r="E318" s="70"/>
      <c r="AF318" s="29"/>
      <c r="AH318" s="29"/>
      <c r="AI318" s="29"/>
      <c r="AS318" s="29"/>
      <c r="AU318" s="29"/>
      <c r="AV318" s="29"/>
      <c r="AX318" s="29"/>
      <c r="BC318" s="29"/>
      <c r="BD318" s="29"/>
    </row>
    <row r="319">
      <c r="B319" s="70"/>
      <c r="C319" s="70"/>
      <c r="D319" s="70"/>
      <c r="E319" s="70"/>
      <c r="AF319" s="29"/>
      <c r="AH319" s="29"/>
      <c r="AI319" s="29"/>
      <c r="AS319" s="29"/>
      <c r="AU319" s="29"/>
      <c r="AV319" s="29"/>
      <c r="AX319" s="29"/>
      <c r="BC319" s="29"/>
      <c r="BD319" s="29"/>
    </row>
    <row r="320">
      <c r="B320" s="70"/>
      <c r="C320" s="70"/>
      <c r="D320" s="70"/>
      <c r="E320" s="70"/>
      <c r="AF320" s="29"/>
      <c r="AH320" s="29"/>
      <c r="AI320" s="29"/>
      <c r="AS320" s="29"/>
      <c r="AU320" s="29"/>
      <c r="AV320" s="29"/>
      <c r="AX320" s="29"/>
      <c r="BC320" s="29"/>
      <c r="BD320" s="29"/>
    </row>
    <row r="321">
      <c r="B321" s="70"/>
      <c r="C321" s="70"/>
      <c r="D321" s="70"/>
      <c r="E321" s="70"/>
      <c r="AF321" s="29"/>
      <c r="AH321" s="29"/>
      <c r="AI321" s="29"/>
      <c r="AS321" s="29"/>
      <c r="AU321" s="29"/>
      <c r="AV321" s="29"/>
      <c r="AX321" s="29"/>
      <c r="BC321" s="29"/>
      <c r="BD321" s="29"/>
    </row>
    <row r="322">
      <c r="B322" s="70"/>
      <c r="C322" s="70"/>
      <c r="D322" s="70"/>
      <c r="E322" s="70"/>
      <c r="AF322" s="29"/>
      <c r="AH322" s="29"/>
      <c r="AI322" s="29"/>
      <c r="AS322" s="29"/>
      <c r="AU322" s="29"/>
      <c r="AV322" s="29"/>
      <c r="AX322" s="29"/>
      <c r="BC322" s="29"/>
      <c r="BD322" s="29"/>
    </row>
    <row r="323">
      <c r="B323" s="70"/>
      <c r="C323" s="70"/>
      <c r="D323" s="70"/>
      <c r="E323" s="70"/>
      <c r="AF323" s="29"/>
      <c r="AH323" s="29"/>
      <c r="AI323" s="29"/>
      <c r="AS323" s="29"/>
      <c r="AU323" s="29"/>
      <c r="AV323" s="29"/>
      <c r="AX323" s="29"/>
      <c r="BC323" s="29"/>
      <c r="BD323" s="29"/>
    </row>
    <row r="324">
      <c r="B324" s="70"/>
      <c r="C324" s="70"/>
      <c r="D324" s="70"/>
      <c r="E324" s="70"/>
      <c r="AF324" s="29"/>
      <c r="AH324" s="29"/>
      <c r="AI324" s="29"/>
      <c r="AS324" s="29"/>
      <c r="AU324" s="29"/>
      <c r="AV324" s="29"/>
      <c r="AX324" s="29"/>
      <c r="BC324" s="29"/>
      <c r="BD324" s="29"/>
    </row>
    <row r="325">
      <c r="B325" s="70"/>
      <c r="C325" s="70"/>
      <c r="D325" s="70"/>
      <c r="E325" s="70"/>
      <c r="AF325" s="29"/>
      <c r="AH325" s="29"/>
      <c r="AI325" s="29"/>
      <c r="AS325" s="29"/>
      <c r="AU325" s="29"/>
      <c r="AV325" s="29"/>
      <c r="AX325" s="29"/>
      <c r="BC325" s="29"/>
      <c r="BD325" s="29"/>
    </row>
    <row r="326">
      <c r="B326" s="70"/>
      <c r="C326" s="70"/>
      <c r="D326" s="70"/>
      <c r="E326" s="70"/>
      <c r="AF326" s="29"/>
      <c r="AH326" s="29"/>
      <c r="AI326" s="29"/>
      <c r="AS326" s="29"/>
      <c r="AU326" s="29"/>
      <c r="AV326" s="29"/>
      <c r="AX326" s="29"/>
      <c r="BC326" s="29"/>
      <c r="BD326" s="29"/>
    </row>
    <row r="327">
      <c r="B327" s="70"/>
      <c r="C327" s="70"/>
      <c r="D327" s="70"/>
      <c r="E327" s="70"/>
      <c r="AF327" s="29"/>
      <c r="AH327" s="29"/>
      <c r="AI327" s="29"/>
      <c r="AS327" s="29"/>
      <c r="AU327" s="29"/>
      <c r="AV327" s="29"/>
      <c r="AX327" s="29"/>
      <c r="BC327" s="29"/>
      <c r="BD327" s="29"/>
    </row>
    <row r="328">
      <c r="B328" s="70"/>
      <c r="C328" s="70"/>
      <c r="D328" s="70"/>
      <c r="E328" s="70"/>
      <c r="AF328" s="29"/>
      <c r="AH328" s="29"/>
      <c r="AI328" s="29"/>
      <c r="AS328" s="29"/>
      <c r="AU328" s="29"/>
      <c r="AV328" s="29"/>
      <c r="AX328" s="29"/>
      <c r="BC328" s="29"/>
      <c r="BD328" s="29"/>
    </row>
    <row r="329">
      <c r="B329" s="70"/>
      <c r="C329" s="70"/>
      <c r="D329" s="70"/>
      <c r="E329" s="70"/>
      <c r="AF329" s="29"/>
      <c r="AH329" s="29"/>
      <c r="AI329" s="29"/>
      <c r="AS329" s="29"/>
      <c r="AU329" s="29"/>
      <c r="AV329" s="29"/>
      <c r="AX329" s="29"/>
      <c r="BC329" s="29"/>
      <c r="BD329" s="29"/>
    </row>
    <row r="330">
      <c r="B330" s="70"/>
      <c r="C330" s="70"/>
      <c r="D330" s="70"/>
      <c r="E330" s="70"/>
      <c r="AF330" s="29"/>
      <c r="AH330" s="29"/>
      <c r="AI330" s="29"/>
      <c r="AS330" s="29"/>
      <c r="AU330" s="29"/>
      <c r="AV330" s="29"/>
      <c r="AX330" s="29"/>
      <c r="BC330" s="29"/>
      <c r="BD330" s="29"/>
    </row>
    <row r="331">
      <c r="B331" s="70"/>
      <c r="C331" s="70"/>
      <c r="D331" s="70"/>
      <c r="E331" s="70"/>
      <c r="AF331" s="29"/>
      <c r="AH331" s="29"/>
      <c r="AI331" s="29"/>
      <c r="AS331" s="29"/>
      <c r="AU331" s="29"/>
      <c r="AV331" s="29"/>
      <c r="AX331" s="29"/>
      <c r="BC331" s="29"/>
      <c r="BD331" s="29"/>
    </row>
    <row r="332">
      <c r="B332" s="70"/>
      <c r="C332" s="70"/>
      <c r="D332" s="70"/>
      <c r="E332" s="70"/>
      <c r="AF332" s="29"/>
      <c r="AH332" s="29"/>
      <c r="AI332" s="29"/>
      <c r="AS332" s="29"/>
      <c r="AU332" s="29"/>
      <c r="AV332" s="29"/>
      <c r="AX332" s="29"/>
      <c r="BC332" s="29"/>
      <c r="BD332" s="29"/>
    </row>
    <row r="333">
      <c r="B333" s="70"/>
      <c r="C333" s="70"/>
      <c r="D333" s="70"/>
      <c r="E333" s="70"/>
      <c r="AF333" s="29"/>
      <c r="AH333" s="29"/>
      <c r="AI333" s="29"/>
      <c r="AS333" s="29"/>
      <c r="AU333" s="29"/>
      <c r="AV333" s="29"/>
      <c r="AX333" s="29"/>
      <c r="BC333" s="29"/>
      <c r="BD333" s="29"/>
    </row>
    <row r="334">
      <c r="B334" s="70"/>
      <c r="C334" s="70"/>
      <c r="D334" s="70"/>
      <c r="E334" s="70"/>
      <c r="AF334" s="29"/>
      <c r="AH334" s="29"/>
      <c r="AI334" s="29"/>
      <c r="AS334" s="29"/>
      <c r="AU334" s="29"/>
      <c r="AV334" s="29"/>
      <c r="AX334" s="29"/>
      <c r="BC334" s="29"/>
      <c r="BD334" s="29"/>
    </row>
    <row r="335">
      <c r="B335" s="70"/>
      <c r="C335" s="70"/>
      <c r="D335" s="70"/>
      <c r="E335" s="70"/>
      <c r="AF335" s="29"/>
      <c r="AH335" s="29"/>
      <c r="AI335" s="29"/>
      <c r="AS335" s="29"/>
      <c r="AU335" s="29"/>
      <c r="AV335" s="29"/>
      <c r="AX335" s="29"/>
      <c r="BC335" s="29"/>
      <c r="BD335" s="29"/>
    </row>
    <row r="336">
      <c r="B336" s="70"/>
      <c r="C336" s="70"/>
      <c r="D336" s="70"/>
      <c r="E336" s="70"/>
      <c r="AF336" s="29"/>
      <c r="AH336" s="29"/>
      <c r="AI336" s="29"/>
      <c r="AS336" s="29"/>
      <c r="AU336" s="29"/>
      <c r="AV336" s="29"/>
      <c r="AX336" s="29"/>
      <c r="BC336" s="29"/>
      <c r="BD336" s="29"/>
    </row>
    <row r="337">
      <c r="B337" s="70"/>
      <c r="C337" s="70"/>
      <c r="D337" s="70"/>
      <c r="E337" s="70"/>
      <c r="AF337" s="29"/>
      <c r="AH337" s="29"/>
      <c r="AI337" s="29"/>
      <c r="AS337" s="29"/>
      <c r="AU337" s="29"/>
      <c r="AV337" s="29"/>
      <c r="AX337" s="29"/>
      <c r="BC337" s="29"/>
      <c r="BD337" s="29"/>
    </row>
    <row r="338">
      <c r="B338" s="70"/>
      <c r="C338" s="70"/>
      <c r="D338" s="70"/>
      <c r="E338" s="70"/>
      <c r="AF338" s="29"/>
      <c r="AH338" s="29"/>
      <c r="AI338" s="29"/>
      <c r="AS338" s="29"/>
      <c r="AU338" s="29"/>
      <c r="AV338" s="29"/>
      <c r="AX338" s="29"/>
      <c r="BC338" s="29"/>
      <c r="BD338" s="29"/>
    </row>
    <row r="339">
      <c r="B339" s="70"/>
      <c r="C339" s="70"/>
      <c r="D339" s="70"/>
      <c r="E339" s="70"/>
      <c r="AF339" s="29"/>
      <c r="AH339" s="29"/>
      <c r="AI339" s="29"/>
      <c r="AS339" s="29"/>
      <c r="AU339" s="29"/>
      <c r="AV339" s="29"/>
      <c r="AX339" s="29"/>
      <c r="BC339" s="29"/>
      <c r="BD339" s="29"/>
    </row>
    <row r="340">
      <c r="B340" s="70"/>
      <c r="C340" s="70"/>
      <c r="D340" s="70"/>
      <c r="E340" s="70"/>
      <c r="AF340" s="29"/>
      <c r="AH340" s="29"/>
      <c r="AI340" s="29"/>
      <c r="AS340" s="29"/>
      <c r="AU340" s="29"/>
      <c r="AV340" s="29"/>
      <c r="AX340" s="29"/>
      <c r="BC340" s="29"/>
      <c r="BD340" s="29"/>
    </row>
    <row r="341">
      <c r="B341" s="70"/>
      <c r="C341" s="70"/>
      <c r="D341" s="70"/>
      <c r="E341" s="70"/>
      <c r="AF341" s="29"/>
      <c r="AH341" s="29"/>
      <c r="AI341" s="29"/>
      <c r="AS341" s="29"/>
      <c r="AU341" s="29"/>
      <c r="AV341" s="29"/>
      <c r="AX341" s="29"/>
      <c r="BC341" s="29"/>
      <c r="BD341" s="29"/>
    </row>
    <row r="342">
      <c r="B342" s="70"/>
      <c r="C342" s="70"/>
      <c r="D342" s="70"/>
      <c r="E342" s="70"/>
      <c r="AF342" s="29"/>
      <c r="AH342" s="29"/>
      <c r="AI342" s="29"/>
      <c r="AS342" s="29"/>
      <c r="AU342" s="29"/>
      <c r="AV342" s="29"/>
      <c r="AX342" s="29"/>
      <c r="BC342" s="29"/>
      <c r="BD342" s="29"/>
    </row>
    <row r="343">
      <c r="B343" s="70"/>
      <c r="C343" s="70"/>
      <c r="D343" s="70"/>
      <c r="E343" s="70"/>
      <c r="AF343" s="29"/>
      <c r="AH343" s="29"/>
      <c r="AI343" s="29"/>
      <c r="AS343" s="29"/>
      <c r="AU343" s="29"/>
      <c r="AV343" s="29"/>
      <c r="AX343" s="29"/>
      <c r="BC343" s="29"/>
      <c r="BD343" s="29"/>
    </row>
    <row r="344">
      <c r="B344" s="70"/>
      <c r="C344" s="70"/>
      <c r="D344" s="70"/>
      <c r="E344" s="70"/>
      <c r="AF344" s="29"/>
      <c r="AH344" s="29"/>
      <c r="AI344" s="29"/>
      <c r="AS344" s="29"/>
      <c r="AU344" s="29"/>
      <c r="AV344" s="29"/>
      <c r="AX344" s="29"/>
      <c r="BC344" s="29"/>
      <c r="BD344" s="29"/>
    </row>
    <row r="345">
      <c r="B345" s="70"/>
      <c r="C345" s="70"/>
      <c r="D345" s="70"/>
      <c r="E345" s="70"/>
      <c r="AF345" s="29"/>
      <c r="AH345" s="29"/>
      <c r="AI345" s="29"/>
      <c r="AS345" s="29"/>
      <c r="AU345" s="29"/>
      <c r="AV345" s="29"/>
      <c r="AX345" s="29"/>
      <c r="BC345" s="29"/>
      <c r="BD345" s="29"/>
    </row>
    <row r="346">
      <c r="B346" s="70"/>
      <c r="C346" s="70"/>
      <c r="D346" s="70"/>
      <c r="E346" s="70"/>
      <c r="AF346" s="29"/>
      <c r="AH346" s="29"/>
      <c r="AI346" s="29"/>
      <c r="AS346" s="29"/>
      <c r="AU346" s="29"/>
      <c r="AV346" s="29"/>
      <c r="AX346" s="29"/>
      <c r="BC346" s="29"/>
      <c r="BD346" s="29"/>
    </row>
    <row r="347">
      <c r="B347" s="70"/>
      <c r="C347" s="70"/>
      <c r="D347" s="70"/>
      <c r="E347" s="70"/>
      <c r="AF347" s="29"/>
      <c r="AH347" s="29"/>
      <c r="AI347" s="29"/>
      <c r="AS347" s="29"/>
      <c r="AU347" s="29"/>
      <c r="AV347" s="29"/>
      <c r="AX347" s="29"/>
      <c r="BC347" s="29"/>
      <c r="BD347" s="29"/>
    </row>
    <row r="348">
      <c r="B348" s="70"/>
      <c r="C348" s="70"/>
      <c r="D348" s="70"/>
      <c r="E348" s="70"/>
      <c r="AF348" s="29"/>
      <c r="AH348" s="29"/>
      <c r="AI348" s="29"/>
      <c r="AS348" s="29"/>
      <c r="AU348" s="29"/>
      <c r="AV348" s="29"/>
      <c r="AX348" s="29"/>
      <c r="BC348" s="29"/>
      <c r="BD348" s="29"/>
    </row>
    <row r="349">
      <c r="B349" s="70"/>
      <c r="C349" s="70"/>
      <c r="D349" s="70"/>
      <c r="E349" s="70"/>
      <c r="AF349" s="29"/>
      <c r="AH349" s="29"/>
      <c r="AI349" s="29"/>
      <c r="AS349" s="29"/>
      <c r="AU349" s="29"/>
      <c r="AV349" s="29"/>
      <c r="AX349" s="29"/>
      <c r="BC349" s="29"/>
      <c r="BD349" s="29"/>
    </row>
    <row r="350">
      <c r="B350" s="70"/>
      <c r="C350" s="70"/>
      <c r="D350" s="70"/>
      <c r="E350" s="70"/>
      <c r="AF350" s="29"/>
      <c r="AH350" s="29"/>
      <c r="AI350" s="29"/>
      <c r="AS350" s="29"/>
      <c r="AU350" s="29"/>
      <c r="AV350" s="29"/>
      <c r="AX350" s="29"/>
      <c r="BC350" s="29"/>
      <c r="BD350" s="29"/>
    </row>
    <row r="351">
      <c r="B351" s="70"/>
      <c r="C351" s="70"/>
      <c r="D351" s="70"/>
      <c r="E351" s="70"/>
      <c r="AF351" s="29"/>
      <c r="AH351" s="29"/>
      <c r="AI351" s="29"/>
      <c r="AS351" s="29"/>
      <c r="AU351" s="29"/>
      <c r="AV351" s="29"/>
      <c r="AX351" s="29"/>
      <c r="BC351" s="29"/>
      <c r="BD351" s="29"/>
    </row>
    <row r="352">
      <c r="B352" s="70"/>
      <c r="C352" s="70"/>
      <c r="D352" s="70"/>
      <c r="E352" s="70"/>
      <c r="AF352" s="29"/>
      <c r="AH352" s="29"/>
      <c r="AI352" s="29"/>
      <c r="AS352" s="29"/>
      <c r="AU352" s="29"/>
      <c r="AV352" s="29"/>
      <c r="AX352" s="29"/>
      <c r="BC352" s="29"/>
      <c r="BD352" s="29"/>
    </row>
    <row r="353">
      <c r="B353" s="70"/>
      <c r="C353" s="70"/>
      <c r="D353" s="70"/>
      <c r="E353" s="70"/>
      <c r="AF353" s="29"/>
      <c r="AH353" s="29"/>
      <c r="AI353" s="29"/>
      <c r="AS353" s="29"/>
      <c r="AU353" s="29"/>
      <c r="AV353" s="29"/>
      <c r="AX353" s="29"/>
      <c r="BC353" s="29"/>
      <c r="BD353" s="29"/>
    </row>
    <row r="354">
      <c r="B354" s="70"/>
      <c r="C354" s="70"/>
      <c r="D354" s="70"/>
      <c r="E354" s="70"/>
      <c r="AF354" s="29"/>
      <c r="AH354" s="29"/>
      <c r="AI354" s="29"/>
      <c r="AS354" s="29"/>
      <c r="AU354" s="29"/>
      <c r="AV354" s="29"/>
      <c r="AX354" s="29"/>
      <c r="BC354" s="29"/>
      <c r="BD354" s="29"/>
    </row>
    <row r="355">
      <c r="B355" s="70"/>
      <c r="C355" s="70"/>
      <c r="D355" s="70"/>
      <c r="E355" s="70"/>
      <c r="AF355" s="29"/>
      <c r="AH355" s="29"/>
      <c r="AI355" s="29"/>
      <c r="AS355" s="29"/>
      <c r="AU355" s="29"/>
      <c r="AV355" s="29"/>
      <c r="AX355" s="29"/>
      <c r="BC355" s="29"/>
      <c r="BD355" s="29"/>
    </row>
    <row r="356">
      <c r="B356" s="70"/>
      <c r="C356" s="70"/>
      <c r="D356" s="70"/>
      <c r="E356" s="70"/>
      <c r="AF356" s="29"/>
      <c r="AH356" s="29"/>
      <c r="AI356" s="29"/>
      <c r="AS356" s="29"/>
      <c r="AU356" s="29"/>
      <c r="AV356" s="29"/>
      <c r="AX356" s="29"/>
      <c r="BC356" s="29"/>
      <c r="BD356" s="29"/>
    </row>
    <row r="357">
      <c r="B357" s="70"/>
      <c r="C357" s="70"/>
      <c r="D357" s="70"/>
      <c r="E357" s="70"/>
      <c r="AF357" s="29"/>
      <c r="AH357" s="29"/>
      <c r="AI357" s="29"/>
      <c r="AS357" s="29"/>
      <c r="AU357" s="29"/>
      <c r="AV357" s="29"/>
      <c r="AX357" s="29"/>
      <c r="BC357" s="29"/>
      <c r="BD357" s="29"/>
    </row>
    <row r="358">
      <c r="B358" s="70"/>
      <c r="C358" s="70"/>
      <c r="D358" s="70"/>
      <c r="E358" s="70"/>
      <c r="AF358" s="29"/>
      <c r="AH358" s="29"/>
      <c r="AI358" s="29"/>
      <c r="AS358" s="29"/>
      <c r="AU358" s="29"/>
      <c r="AV358" s="29"/>
      <c r="AX358" s="29"/>
      <c r="BC358" s="29"/>
      <c r="BD358" s="29"/>
    </row>
    <row r="359">
      <c r="B359" s="70"/>
      <c r="C359" s="70"/>
      <c r="D359" s="70"/>
      <c r="E359" s="70"/>
      <c r="AF359" s="29"/>
      <c r="AH359" s="29"/>
      <c r="AI359" s="29"/>
      <c r="AS359" s="29"/>
      <c r="AU359" s="29"/>
      <c r="AV359" s="29"/>
      <c r="AX359" s="29"/>
      <c r="BC359" s="29"/>
      <c r="BD359" s="29"/>
    </row>
    <row r="360">
      <c r="B360" s="70"/>
      <c r="C360" s="70"/>
      <c r="D360" s="70"/>
      <c r="E360" s="70"/>
      <c r="AF360" s="29"/>
      <c r="AH360" s="29"/>
      <c r="AI360" s="29"/>
      <c r="AS360" s="29"/>
      <c r="AU360" s="29"/>
      <c r="AV360" s="29"/>
      <c r="AX360" s="29"/>
      <c r="BC360" s="29"/>
      <c r="BD360" s="29"/>
    </row>
    <row r="361">
      <c r="B361" s="70"/>
      <c r="C361" s="70"/>
      <c r="D361" s="70"/>
      <c r="E361" s="70"/>
      <c r="AF361" s="29"/>
      <c r="AH361" s="29"/>
      <c r="AI361" s="29"/>
      <c r="AS361" s="29"/>
      <c r="AU361" s="29"/>
      <c r="AV361" s="29"/>
      <c r="AX361" s="29"/>
      <c r="BC361" s="29"/>
      <c r="BD361" s="29"/>
    </row>
    <row r="362">
      <c r="B362" s="70"/>
      <c r="C362" s="70"/>
      <c r="D362" s="70"/>
      <c r="E362" s="70"/>
      <c r="AF362" s="29"/>
      <c r="AH362" s="29"/>
      <c r="AI362" s="29"/>
      <c r="AS362" s="29"/>
      <c r="AU362" s="29"/>
      <c r="AV362" s="29"/>
      <c r="AX362" s="29"/>
      <c r="BC362" s="29"/>
      <c r="BD362" s="29"/>
    </row>
    <row r="363">
      <c r="B363" s="70"/>
      <c r="C363" s="70"/>
      <c r="D363" s="70"/>
      <c r="E363" s="70"/>
      <c r="AF363" s="29"/>
      <c r="AH363" s="29"/>
      <c r="AI363" s="29"/>
      <c r="AS363" s="29"/>
      <c r="AU363" s="29"/>
      <c r="AV363" s="29"/>
      <c r="AX363" s="29"/>
      <c r="BC363" s="29"/>
      <c r="BD363" s="29"/>
    </row>
    <row r="364">
      <c r="B364" s="70"/>
      <c r="C364" s="70"/>
      <c r="D364" s="70"/>
      <c r="E364" s="70"/>
      <c r="AF364" s="29"/>
      <c r="AH364" s="29"/>
      <c r="AI364" s="29"/>
      <c r="AS364" s="29"/>
      <c r="AU364" s="29"/>
      <c r="AV364" s="29"/>
      <c r="AX364" s="29"/>
      <c r="BC364" s="29"/>
      <c r="BD364" s="29"/>
    </row>
    <row r="365">
      <c r="B365" s="70"/>
      <c r="C365" s="70"/>
      <c r="D365" s="70"/>
      <c r="E365" s="70"/>
      <c r="AF365" s="29"/>
      <c r="AH365" s="29"/>
      <c r="AI365" s="29"/>
      <c r="AS365" s="29"/>
      <c r="AU365" s="29"/>
      <c r="AV365" s="29"/>
      <c r="AX365" s="29"/>
      <c r="BC365" s="29"/>
      <c r="BD365" s="29"/>
    </row>
    <row r="366">
      <c r="B366" s="70"/>
      <c r="C366" s="70"/>
      <c r="D366" s="70"/>
      <c r="E366" s="70"/>
      <c r="AF366" s="29"/>
      <c r="AH366" s="29"/>
      <c r="AI366" s="29"/>
      <c r="AS366" s="29"/>
      <c r="AU366" s="29"/>
      <c r="AV366" s="29"/>
      <c r="AX366" s="29"/>
      <c r="BC366" s="29"/>
      <c r="BD366" s="29"/>
    </row>
    <row r="367">
      <c r="B367" s="70"/>
      <c r="C367" s="70"/>
      <c r="D367" s="70"/>
      <c r="E367" s="70"/>
      <c r="AF367" s="29"/>
      <c r="AH367" s="29"/>
      <c r="AI367" s="29"/>
      <c r="AS367" s="29"/>
      <c r="AU367" s="29"/>
      <c r="AV367" s="29"/>
      <c r="AX367" s="29"/>
      <c r="BC367" s="29"/>
      <c r="BD367" s="29"/>
    </row>
    <row r="368">
      <c r="B368" s="70"/>
      <c r="C368" s="70"/>
      <c r="D368" s="70"/>
      <c r="E368" s="70"/>
      <c r="AF368" s="29"/>
      <c r="AH368" s="29"/>
      <c r="AI368" s="29"/>
      <c r="AS368" s="29"/>
      <c r="AU368" s="29"/>
      <c r="AV368" s="29"/>
      <c r="AX368" s="29"/>
      <c r="BC368" s="29"/>
      <c r="BD368" s="29"/>
    </row>
    <row r="369">
      <c r="B369" s="70"/>
      <c r="C369" s="70"/>
      <c r="D369" s="70"/>
      <c r="E369" s="70"/>
      <c r="AF369" s="29"/>
      <c r="AH369" s="29"/>
      <c r="AI369" s="29"/>
      <c r="AS369" s="29"/>
      <c r="AU369" s="29"/>
      <c r="AV369" s="29"/>
      <c r="AX369" s="29"/>
      <c r="BC369" s="29"/>
      <c r="BD369" s="29"/>
    </row>
    <row r="370">
      <c r="B370" s="70"/>
      <c r="C370" s="70"/>
      <c r="D370" s="70"/>
      <c r="E370" s="70"/>
      <c r="AF370" s="29"/>
      <c r="AH370" s="29"/>
      <c r="AI370" s="29"/>
      <c r="AS370" s="29"/>
      <c r="AU370" s="29"/>
      <c r="AV370" s="29"/>
      <c r="AX370" s="29"/>
      <c r="BC370" s="29"/>
      <c r="BD370" s="29"/>
    </row>
    <row r="371">
      <c r="B371" s="70"/>
      <c r="C371" s="70"/>
      <c r="D371" s="70"/>
      <c r="E371" s="70"/>
      <c r="AF371" s="29"/>
      <c r="AH371" s="29"/>
      <c r="AI371" s="29"/>
      <c r="AS371" s="29"/>
      <c r="AU371" s="29"/>
      <c r="AV371" s="29"/>
      <c r="AX371" s="29"/>
      <c r="BC371" s="29"/>
      <c r="BD371" s="29"/>
    </row>
    <row r="372">
      <c r="B372" s="70"/>
      <c r="C372" s="70"/>
      <c r="D372" s="70"/>
      <c r="E372" s="70"/>
      <c r="AF372" s="29"/>
      <c r="AH372" s="29"/>
      <c r="AI372" s="29"/>
      <c r="AS372" s="29"/>
      <c r="AU372" s="29"/>
      <c r="AV372" s="29"/>
      <c r="AX372" s="29"/>
      <c r="BC372" s="29"/>
      <c r="BD372" s="29"/>
    </row>
    <row r="373">
      <c r="B373" s="70"/>
      <c r="C373" s="70"/>
      <c r="D373" s="70"/>
      <c r="E373" s="70"/>
      <c r="AF373" s="29"/>
      <c r="AH373" s="29"/>
      <c r="AI373" s="29"/>
      <c r="AS373" s="29"/>
      <c r="AU373" s="29"/>
      <c r="AV373" s="29"/>
      <c r="AX373" s="29"/>
      <c r="BC373" s="29"/>
      <c r="BD373" s="29"/>
    </row>
    <row r="374">
      <c r="B374" s="70"/>
      <c r="C374" s="70"/>
      <c r="D374" s="70"/>
      <c r="E374" s="70"/>
      <c r="AF374" s="29"/>
      <c r="AH374" s="29"/>
      <c r="AI374" s="29"/>
      <c r="AS374" s="29"/>
      <c r="AU374" s="29"/>
      <c r="AV374" s="29"/>
      <c r="AX374" s="29"/>
      <c r="BC374" s="29"/>
      <c r="BD374" s="29"/>
    </row>
    <row r="375">
      <c r="B375" s="70"/>
      <c r="C375" s="70"/>
      <c r="D375" s="70"/>
      <c r="E375" s="70"/>
      <c r="AF375" s="29"/>
      <c r="AH375" s="29"/>
      <c r="AI375" s="29"/>
      <c r="AS375" s="29"/>
      <c r="AU375" s="29"/>
      <c r="AV375" s="29"/>
      <c r="AX375" s="29"/>
      <c r="BC375" s="29"/>
      <c r="BD375" s="29"/>
    </row>
    <row r="376">
      <c r="B376" s="70"/>
      <c r="C376" s="70"/>
      <c r="D376" s="70"/>
      <c r="E376" s="70"/>
      <c r="AF376" s="29"/>
      <c r="AH376" s="29"/>
      <c r="AI376" s="29"/>
      <c r="AS376" s="29"/>
      <c r="AU376" s="29"/>
      <c r="AV376" s="29"/>
      <c r="AX376" s="29"/>
      <c r="BC376" s="29"/>
      <c r="BD376" s="29"/>
    </row>
    <row r="377">
      <c r="B377" s="70"/>
      <c r="C377" s="70"/>
      <c r="D377" s="70"/>
      <c r="E377" s="70"/>
      <c r="AF377" s="29"/>
      <c r="AH377" s="29"/>
      <c r="AI377" s="29"/>
      <c r="AS377" s="29"/>
      <c r="AU377" s="29"/>
      <c r="AV377" s="29"/>
      <c r="AX377" s="29"/>
      <c r="BC377" s="29"/>
      <c r="BD377" s="29"/>
    </row>
    <row r="378">
      <c r="B378" s="70"/>
      <c r="C378" s="70"/>
      <c r="D378" s="70"/>
      <c r="E378" s="70"/>
      <c r="AF378" s="29"/>
      <c r="AH378" s="29"/>
      <c r="AI378" s="29"/>
      <c r="AS378" s="29"/>
      <c r="AU378" s="29"/>
      <c r="AV378" s="29"/>
      <c r="AX378" s="29"/>
      <c r="BC378" s="29"/>
      <c r="BD378" s="29"/>
    </row>
    <row r="379">
      <c r="B379" s="70"/>
      <c r="C379" s="70"/>
      <c r="D379" s="70"/>
      <c r="E379" s="70"/>
      <c r="AF379" s="29"/>
      <c r="AH379" s="29"/>
      <c r="AI379" s="29"/>
      <c r="AS379" s="29"/>
      <c r="AU379" s="29"/>
      <c r="AV379" s="29"/>
      <c r="AX379" s="29"/>
      <c r="BC379" s="29"/>
      <c r="BD379" s="29"/>
    </row>
    <row r="380">
      <c r="B380" s="70"/>
      <c r="C380" s="70"/>
      <c r="D380" s="70"/>
      <c r="E380" s="70"/>
      <c r="AF380" s="29"/>
      <c r="AH380" s="29"/>
      <c r="AI380" s="29"/>
      <c r="AS380" s="29"/>
      <c r="AU380" s="29"/>
      <c r="AV380" s="29"/>
      <c r="AX380" s="29"/>
      <c r="BC380" s="29"/>
      <c r="BD380" s="29"/>
    </row>
    <row r="381">
      <c r="B381" s="70"/>
      <c r="C381" s="70"/>
      <c r="D381" s="70"/>
      <c r="E381" s="70"/>
      <c r="AF381" s="29"/>
      <c r="AH381" s="29"/>
      <c r="AI381" s="29"/>
      <c r="AS381" s="29"/>
      <c r="AU381" s="29"/>
      <c r="AV381" s="29"/>
      <c r="AX381" s="29"/>
      <c r="BC381" s="29"/>
      <c r="BD381" s="29"/>
    </row>
    <row r="382">
      <c r="B382" s="70"/>
      <c r="C382" s="70"/>
      <c r="D382" s="70"/>
      <c r="E382" s="70"/>
      <c r="AF382" s="29"/>
      <c r="AH382" s="29"/>
      <c r="AI382" s="29"/>
      <c r="AS382" s="29"/>
      <c r="AU382" s="29"/>
      <c r="AV382" s="29"/>
      <c r="AX382" s="29"/>
      <c r="BC382" s="29"/>
      <c r="BD382" s="29"/>
    </row>
    <row r="383">
      <c r="B383" s="70"/>
      <c r="C383" s="70"/>
      <c r="D383" s="70"/>
      <c r="E383" s="70"/>
      <c r="AF383" s="29"/>
      <c r="AH383" s="29"/>
      <c r="AI383" s="29"/>
      <c r="AS383" s="29"/>
      <c r="AU383" s="29"/>
      <c r="AV383" s="29"/>
      <c r="AX383" s="29"/>
      <c r="BC383" s="29"/>
      <c r="BD383" s="29"/>
    </row>
    <row r="384">
      <c r="B384" s="70"/>
      <c r="C384" s="70"/>
      <c r="D384" s="70"/>
      <c r="E384" s="70"/>
      <c r="AF384" s="29"/>
      <c r="AH384" s="29"/>
      <c r="AI384" s="29"/>
      <c r="AS384" s="29"/>
      <c r="AU384" s="29"/>
      <c r="AV384" s="29"/>
      <c r="AX384" s="29"/>
      <c r="BC384" s="29"/>
      <c r="BD384" s="29"/>
    </row>
    <row r="385">
      <c r="B385" s="70"/>
      <c r="C385" s="70"/>
      <c r="D385" s="70"/>
      <c r="E385" s="70"/>
      <c r="AF385" s="29"/>
      <c r="AH385" s="29"/>
      <c r="AI385" s="29"/>
      <c r="AS385" s="29"/>
      <c r="AU385" s="29"/>
      <c r="AV385" s="29"/>
      <c r="AX385" s="29"/>
      <c r="BC385" s="29"/>
      <c r="BD385" s="29"/>
    </row>
    <row r="386">
      <c r="B386" s="70"/>
      <c r="C386" s="70"/>
      <c r="D386" s="70"/>
      <c r="E386" s="70"/>
      <c r="AF386" s="29"/>
      <c r="AH386" s="29"/>
      <c r="AI386" s="29"/>
      <c r="AS386" s="29"/>
      <c r="AU386" s="29"/>
      <c r="AV386" s="29"/>
      <c r="AX386" s="29"/>
      <c r="BC386" s="29"/>
      <c r="BD386" s="29"/>
    </row>
    <row r="387">
      <c r="B387" s="70"/>
      <c r="C387" s="70"/>
      <c r="D387" s="70"/>
      <c r="E387" s="70"/>
      <c r="AF387" s="29"/>
      <c r="AH387" s="29"/>
      <c r="AI387" s="29"/>
      <c r="AS387" s="29"/>
      <c r="AU387" s="29"/>
      <c r="AV387" s="29"/>
      <c r="AX387" s="29"/>
      <c r="BC387" s="29"/>
      <c r="BD387" s="29"/>
    </row>
    <row r="388">
      <c r="B388" s="70"/>
      <c r="C388" s="70"/>
      <c r="D388" s="70"/>
      <c r="E388" s="70"/>
      <c r="AF388" s="29"/>
      <c r="AH388" s="29"/>
      <c r="AI388" s="29"/>
      <c r="AS388" s="29"/>
      <c r="AU388" s="29"/>
      <c r="AV388" s="29"/>
      <c r="AX388" s="29"/>
      <c r="BC388" s="29"/>
      <c r="BD388" s="29"/>
    </row>
    <row r="389">
      <c r="B389" s="70"/>
      <c r="C389" s="70"/>
      <c r="D389" s="70"/>
      <c r="E389" s="70"/>
      <c r="AF389" s="29"/>
      <c r="AH389" s="29"/>
      <c r="AI389" s="29"/>
      <c r="AS389" s="29"/>
      <c r="AU389" s="29"/>
      <c r="AV389" s="29"/>
      <c r="AX389" s="29"/>
      <c r="BC389" s="29"/>
      <c r="BD389" s="29"/>
    </row>
    <row r="390">
      <c r="B390" s="70"/>
      <c r="C390" s="70"/>
      <c r="D390" s="70"/>
      <c r="E390" s="70"/>
      <c r="AF390" s="29"/>
      <c r="AH390" s="29"/>
      <c r="AI390" s="29"/>
      <c r="AS390" s="29"/>
      <c r="AU390" s="29"/>
      <c r="AV390" s="29"/>
      <c r="AX390" s="29"/>
      <c r="BC390" s="29"/>
      <c r="BD390" s="29"/>
    </row>
    <row r="391">
      <c r="B391" s="70"/>
      <c r="C391" s="70"/>
      <c r="D391" s="70"/>
      <c r="E391" s="70"/>
      <c r="AF391" s="29"/>
      <c r="AH391" s="29"/>
      <c r="AI391" s="29"/>
      <c r="AS391" s="29"/>
      <c r="AU391" s="29"/>
      <c r="AV391" s="29"/>
      <c r="AX391" s="29"/>
      <c r="BC391" s="29"/>
      <c r="BD391" s="29"/>
    </row>
    <row r="392">
      <c r="B392" s="70"/>
      <c r="C392" s="70"/>
      <c r="D392" s="70"/>
      <c r="E392" s="70"/>
      <c r="AF392" s="29"/>
      <c r="AH392" s="29"/>
      <c r="AI392" s="29"/>
      <c r="AS392" s="29"/>
      <c r="AU392" s="29"/>
      <c r="AV392" s="29"/>
      <c r="AX392" s="29"/>
      <c r="BC392" s="29"/>
      <c r="BD392" s="29"/>
    </row>
    <row r="393">
      <c r="B393" s="70"/>
      <c r="C393" s="70"/>
      <c r="D393" s="70"/>
      <c r="E393" s="70"/>
      <c r="AF393" s="29"/>
      <c r="AH393" s="29"/>
      <c r="AI393" s="29"/>
      <c r="AS393" s="29"/>
      <c r="AU393" s="29"/>
      <c r="AV393" s="29"/>
      <c r="AX393" s="29"/>
      <c r="BC393" s="29"/>
      <c r="BD393" s="29"/>
    </row>
    <row r="394">
      <c r="B394" s="70"/>
      <c r="C394" s="70"/>
      <c r="D394" s="70"/>
      <c r="E394" s="70"/>
      <c r="AF394" s="29"/>
      <c r="AH394" s="29"/>
      <c r="AI394" s="29"/>
      <c r="AS394" s="29"/>
      <c r="AU394" s="29"/>
      <c r="AV394" s="29"/>
      <c r="AX394" s="29"/>
      <c r="BC394" s="29"/>
      <c r="BD394" s="29"/>
    </row>
    <row r="395">
      <c r="B395" s="70"/>
      <c r="C395" s="70"/>
      <c r="D395" s="70"/>
      <c r="E395" s="70"/>
      <c r="AF395" s="29"/>
      <c r="AH395" s="29"/>
      <c r="AI395" s="29"/>
      <c r="AS395" s="29"/>
      <c r="AU395" s="29"/>
      <c r="AV395" s="29"/>
      <c r="AX395" s="29"/>
      <c r="BC395" s="29"/>
      <c r="BD395" s="29"/>
    </row>
    <row r="396">
      <c r="B396" s="70"/>
      <c r="C396" s="70"/>
      <c r="D396" s="70"/>
      <c r="E396" s="70"/>
      <c r="AF396" s="29"/>
      <c r="AH396" s="29"/>
      <c r="AI396" s="29"/>
      <c r="AS396" s="29"/>
      <c r="AU396" s="29"/>
      <c r="AV396" s="29"/>
      <c r="AX396" s="29"/>
      <c r="BC396" s="29"/>
      <c r="BD396" s="29"/>
    </row>
    <row r="397">
      <c r="B397" s="70"/>
      <c r="C397" s="70"/>
      <c r="D397" s="70"/>
      <c r="E397" s="70"/>
      <c r="AF397" s="29"/>
      <c r="AH397" s="29"/>
      <c r="AI397" s="29"/>
      <c r="AS397" s="29"/>
      <c r="AU397" s="29"/>
      <c r="AV397" s="29"/>
      <c r="AX397" s="29"/>
      <c r="BC397" s="29"/>
      <c r="BD397" s="29"/>
    </row>
    <row r="398">
      <c r="B398" s="70"/>
      <c r="C398" s="70"/>
      <c r="D398" s="70"/>
      <c r="E398" s="70"/>
      <c r="AF398" s="29"/>
      <c r="AH398" s="29"/>
      <c r="AI398" s="29"/>
      <c r="AS398" s="29"/>
      <c r="AU398" s="29"/>
      <c r="AV398" s="29"/>
      <c r="AX398" s="29"/>
      <c r="BC398" s="29"/>
      <c r="BD398" s="29"/>
    </row>
    <row r="399">
      <c r="B399" s="70"/>
      <c r="C399" s="70"/>
      <c r="D399" s="70"/>
      <c r="E399" s="70"/>
      <c r="AF399" s="29"/>
      <c r="AH399" s="29"/>
      <c r="AI399" s="29"/>
      <c r="AS399" s="29"/>
      <c r="AU399" s="29"/>
      <c r="AV399" s="29"/>
      <c r="AX399" s="29"/>
      <c r="BC399" s="29"/>
      <c r="BD399" s="29"/>
    </row>
    <row r="400">
      <c r="B400" s="70"/>
      <c r="C400" s="70"/>
      <c r="D400" s="70"/>
      <c r="E400" s="70"/>
      <c r="AF400" s="29"/>
      <c r="AH400" s="29"/>
      <c r="AI400" s="29"/>
      <c r="AS400" s="29"/>
      <c r="AU400" s="29"/>
      <c r="AV400" s="29"/>
      <c r="AX400" s="29"/>
      <c r="BC400" s="29"/>
      <c r="BD400" s="29"/>
    </row>
    <row r="401">
      <c r="B401" s="70"/>
      <c r="C401" s="70"/>
      <c r="D401" s="70"/>
      <c r="E401" s="70"/>
      <c r="AF401" s="29"/>
      <c r="AH401" s="29"/>
      <c r="AI401" s="29"/>
      <c r="AS401" s="29"/>
      <c r="AU401" s="29"/>
      <c r="AV401" s="29"/>
      <c r="AX401" s="29"/>
      <c r="BC401" s="29"/>
      <c r="BD401" s="29"/>
    </row>
    <row r="402">
      <c r="B402" s="70"/>
      <c r="C402" s="70"/>
      <c r="D402" s="70"/>
      <c r="E402" s="70"/>
      <c r="AF402" s="29"/>
      <c r="AH402" s="29"/>
      <c r="AI402" s="29"/>
      <c r="AS402" s="29"/>
      <c r="AU402" s="29"/>
      <c r="AV402" s="29"/>
      <c r="AX402" s="29"/>
      <c r="BC402" s="29"/>
      <c r="BD402" s="29"/>
    </row>
    <row r="403">
      <c r="B403" s="70"/>
      <c r="C403" s="70"/>
      <c r="D403" s="70"/>
      <c r="E403" s="70"/>
      <c r="AF403" s="29"/>
      <c r="AH403" s="29"/>
      <c r="AI403" s="29"/>
      <c r="AS403" s="29"/>
      <c r="AU403" s="29"/>
      <c r="AV403" s="29"/>
      <c r="AX403" s="29"/>
      <c r="BC403" s="29"/>
      <c r="BD403" s="29"/>
    </row>
    <row r="404">
      <c r="B404" s="70"/>
      <c r="C404" s="70"/>
      <c r="D404" s="70"/>
      <c r="E404" s="70"/>
      <c r="AF404" s="29"/>
      <c r="AH404" s="29"/>
      <c r="AI404" s="29"/>
      <c r="AS404" s="29"/>
      <c r="AU404" s="29"/>
      <c r="AV404" s="29"/>
      <c r="AX404" s="29"/>
      <c r="BC404" s="29"/>
      <c r="BD404" s="29"/>
    </row>
    <row r="405">
      <c r="B405" s="70"/>
      <c r="C405" s="70"/>
      <c r="D405" s="70"/>
      <c r="E405" s="70"/>
      <c r="AF405" s="29"/>
      <c r="AH405" s="29"/>
      <c r="AI405" s="29"/>
      <c r="AS405" s="29"/>
      <c r="AU405" s="29"/>
      <c r="AV405" s="29"/>
      <c r="AX405" s="29"/>
      <c r="BC405" s="29"/>
      <c r="BD405" s="29"/>
    </row>
    <row r="406">
      <c r="B406" s="70"/>
      <c r="C406" s="70"/>
      <c r="D406" s="70"/>
      <c r="E406" s="70"/>
      <c r="AF406" s="29"/>
      <c r="AH406" s="29"/>
      <c r="AI406" s="29"/>
      <c r="AS406" s="29"/>
      <c r="AU406" s="29"/>
      <c r="AV406" s="29"/>
      <c r="AX406" s="29"/>
      <c r="BC406" s="29"/>
      <c r="BD406" s="29"/>
    </row>
    <row r="407">
      <c r="B407" s="70"/>
      <c r="C407" s="70"/>
      <c r="D407" s="70"/>
      <c r="E407" s="70"/>
      <c r="AF407" s="29"/>
      <c r="AH407" s="29"/>
      <c r="AI407" s="29"/>
      <c r="AS407" s="29"/>
      <c r="AU407" s="29"/>
      <c r="AV407" s="29"/>
      <c r="AX407" s="29"/>
      <c r="BC407" s="29"/>
      <c r="BD407" s="29"/>
    </row>
    <row r="408">
      <c r="B408" s="70"/>
      <c r="C408" s="70"/>
      <c r="D408" s="70"/>
      <c r="E408" s="70"/>
      <c r="AF408" s="29"/>
      <c r="AH408" s="29"/>
      <c r="AI408" s="29"/>
      <c r="AS408" s="29"/>
      <c r="AU408" s="29"/>
      <c r="AV408" s="29"/>
      <c r="AX408" s="29"/>
      <c r="BC408" s="29"/>
      <c r="BD408" s="29"/>
    </row>
    <row r="409">
      <c r="B409" s="70"/>
      <c r="C409" s="70"/>
      <c r="D409" s="70"/>
      <c r="E409" s="70"/>
      <c r="AF409" s="29"/>
      <c r="AH409" s="29"/>
      <c r="AI409" s="29"/>
      <c r="AS409" s="29"/>
      <c r="AU409" s="29"/>
      <c r="AV409" s="29"/>
      <c r="AX409" s="29"/>
      <c r="BC409" s="29"/>
      <c r="BD409" s="29"/>
    </row>
    <row r="410">
      <c r="B410" s="70"/>
      <c r="C410" s="70"/>
      <c r="D410" s="70"/>
      <c r="E410" s="70"/>
      <c r="AF410" s="29"/>
      <c r="AH410" s="29"/>
      <c r="AI410" s="29"/>
      <c r="AS410" s="29"/>
      <c r="AU410" s="29"/>
      <c r="AV410" s="29"/>
      <c r="AX410" s="29"/>
      <c r="BC410" s="29"/>
      <c r="BD410" s="29"/>
    </row>
    <row r="411">
      <c r="B411" s="70"/>
      <c r="C411" s="70"/>
      <c r="D411" s="70"/>
      <c r="E411" s="70"/>
      <c r="AF411" s="29"/>
      <c r="AH411" s="29"/>
      <c r="AI411" s="29"/>
      <c r="AS411" s="29"/>
      <c r="AU411" s="29"/>
      <c r="AV411" s="29"/>
      <c r="AX411" s="29"/>
      <c r="BC411" s="29"/>
      <c r="BD411" s="29"/>
    </row>
    <row r="412">
      <c r="B412" s="70"/>
      <c r="C412" s="70"/>
      <c r="D412" s="70"/>
      <c r="E412" s="70"/>
      <c r="AF412" s="29"/>
      <c r="AH412" s="29"/>
      <c r="AI412" s="29"/>
      <c r="AS412" s="29"/>
      <c r="AU412" s="29"/>
      <c r="AV412" s="29"/>
      <c r="AX412" s="29"/>
      <c r="BC412" s="29"/>
      <c r="BD412" s="29"/>
    </row>
    <row r="413">
      <c r="B413" s="70"/>
      <c r="C413" s="70"/>
      <c r="D413" s="70"/>
      <c r="E413" s="70"/>
      <c r="AF413" s="29"/>
      <c r="AH413" s="29"/>
      <c r="AI413" s="29"/>
      <c r="AS413" s="29"/>
      <c r="AU413" s="29"/>
      <c r="AV413" s="29"/>
      <c r="AX413" s="29"/>
      <c r="BC413" s="29"/>
      <c r="BD413" s="29"/>
    </row>
    <row r="414">
      <c r="B414" s="70"/>
      <c r="C414" s="70"/>
      <c r="D414" s="70"/>
      <c r="E414" s="70"/>
      <c r="AF414" s="29"/>
      <c r="AH414" s="29"/>
      <c r="AI414" s="29"/>
      <c r="AS414" s="29"/>
      <c r="AU414" s="29"/>
      <c r="AV414" s="29"/>
      <c r="AX414" s="29"/>
      <c r="BC414" s="29"/>
      <c r="BD414" s="29"/>
    </row>
    <row r="415">
      <c r="B415" s="70"/>
      <c r="C415" s="70"/>
      <c r="D415" s="70"/>
      <c r="E415" s="70"/>
      <c r="AF415" s="29"/>
      <c r="AH415" s="29"/>
      <c r="AI415" s="29"/>
      <c r="AS415" s="29"/>
      <c r="AU415" s="29"/>
      <c r="AV415" s="29"/>
      <c r="AX415" s="29"/>
      <c r="BC415" s="29"/>
      <c r="BD415" s="29"/>
    </row>
    <row r="416">
      <c r="B416" s="70"/>
      <c r="C416" s="70"/>
      <c r="D416" s="70"/>
      <c r="E416" s="70"/>
      <c r="AF416" s="29"/>
      <c r="AH416" s="29"/>
      <c r="AI416" s="29"/>
      <c r="AS416" s="29"/>
      <c r="AU416" s="29"/>
      <c r="AV416" s="29"/>
      <c r="AX416" s="29"/>
      <c r="BC416" s="29"/>
      <c r="BD416" s="29"/>
    </row>
    <row r="417">
      <c r="B417" s="70"/>
      <c r="C417" s="70"/>
      <c r="D417" s="70"/>
      <c r="E417" s="70"/>
      <c r="AF417" s="29"/>
      <c r="AH417" s="29"/>
      <c r="AI417" s="29"/>
      <c r="AS417" s="29"/>
      <c r="AU417" s="29"/>
      <c r="AV417" s="29"/>
      <c r="AX417" s="29"/>
      <c r="BC417" s="29"/>
      <c r="BD417" s="29"/>
    </row>
    <row r="418">
      <c r="B418" s="70"/>
      <c r="C418" s="70"/>
      <c r="D418" s="70"/>
      <c r="E418" s="70"/>
      <c r="AF418" s="29"/>
      <c r="AH418" s="29"/>
      <c r="AI418" s="29"/>
      <c r="AS418" s="29"/>
      <c r="AU418" s="29"/>
      <c r="AV418" s="29"/>
      <c r="AX418" s="29"/>
      <c r="BC418" s="29"/>
      <c r="BD418" s="29"/>
    </row>
    <row r="419">
      <c r="B419" s="70"/>
      <c r="C419" s="70"/>
      <c r="D419" s="70"/>
      <c r="E419" s="70"/>
      <c r="AF419" s="29"/>
      <c r="AH419" s="29"/>
      <c r="AI419" s="29"/>
      <c r="AS419" s="29"/>
      <c r="AU419" s="29"/>
      <c r="AV419" s="29"/>
      <c r="AX419" s="29"/>
      <c r="BC419" s="29"/>
      <c r="BD419" s="29"/>
    </row>
    <row r="420">
      <c r="B420" s="70"/>
      <c r="C420" s="70"/>
      <c r="D420" s="70"/>
      <c r="E420" s="70"/>
      <c r="AF420" s="29"/>
      <c r="AH420" s="29"/>
      <c r="AI420" s="29"/>
      <c r="AS420" s="29"/>
      <c r="AU420" s="29"/>
      <c r="AV420" s="29"/>
      <c r="AX420" s="29"/>
      <c r="BC420" s="29"/>
      <c r="BD420" s="29"/>
    </row>
    <row r="421">
      <c r="B421" s="70"/>
      <c r="C421" s="70"/>
      <c r="D421" s="70"/>
      <c r="E421" s="70"/>
      <c r="AF421" s="29"/>
      <c r="AH421" s="29"/>
      <c r="AI421" s="29"/>
      <c r="AS421" s="29"/>
      <c r="AU421" s="29"/>
      <c r="AV421" s="29"/>
      <c r="AX421" s="29"/>
      <c r="BC421" s="29"/>
      <c r="BD421" s="29"/>
    </row>
    <row r="422">
      <c r="B422" s="70"/>
      <c r="C422" s="70"/>
      <c r="D422" s="70"/>
      <c r="E422" s="70"/>
      <c r="AF422" s="29"/>
      <c r="AH422" s="29"/>
      <c r="AI422" s="29"/>
      <c r="AS422" s="29"/>
      <c r="AU422" s="29"/>
      <c r="AV422" s="29"/>
      <c r="AX422" s="29"/>
      <c r="BC422" s="29"/>
      <c r="BD422" s="29"/>
    </row>
    <row r="423">
      <c r="B423" s="70"/>
      <c r="C423" s="70"/>
      <c r="D423" s="70"/>
      <c r="E423" s="70"/>
      <c r="AF423" s="29"/>
      <c r="AH423" s="29"/>
      <c r="AI423" s="29"/>
      <c r="AS423" s="29"/>
      <c r="AU423" s="29"/>
      <c r="AV423" s="29"/>
      <c r="AX423" s="29"/>
      <c r="BC423" s="29"/>
      <c r="BD423" s="29"/>
    </row>
    <row r="424">
      <c r="B424" s="70"/>
      <c r="C424" s="70"/>
      <c r="D424" s="70"/>
      <c r="E424" s="70"/>
      <c r="AF424" s="29"/>
      <c r="AH424" s="29"/>
      <c r="AI424" s="29"/>
      <c r="AS424" s="29"/>
      <c r="AU424" s="29"/>
      <c r="AV424" s="29"/>
      <c r="AX424" s="29"/>
      <c r="BC424" s="29"/>
      <c r="BD424" s="29"/>
    </row>
    <row r="425">
      <c r="B425" s="70"/>
      <c r="C425" s="70"/>
      <c r="D425" s="70"/>
      <c r="E425" s="70"/>
      <c r="AF425" s="29"/>
      <c r="AH425" s="29"/>
      <c r="AI425" s="29"/>
      <c r="AS425" s="29"/>
      <c r="AU425" s="29"/>
      <c r="AV425" s="29"/>
      <c r="AX425" s="29"/>
      <c r="BC425" s="29"/>
      <c r="BD425" s="29"/>
    </row>
    <row r="426">
      <c r="B426" s="70"/>
      <c r="C426" s="70"/>
      <c r="D426" s="70"/>
      <c r="E426" s="70"/>
      <c r="AF426" s="29"/>
      <c r="AH426" s="29"/>
      <c r="AI426" s="29"/>
      <c r="AS426" s="29"/>
      <c r="AU426" s="29"/>
      <c r="AV426" s="29"/>
      <c r="AX426" s="29"/>
      <c r="BC426" s="29"/>
      <c r="BD426" s="29"/>
    </row>
    <row r="427">
      <c r="B427" s="70"/>
      <c r="C427" s="70"/>
      <c r="D427" s="70"/>
      <c r="E427" s="70"/>
      <c r="AF427" s="29"/>
      <c r="AH427" s="29"/>
      <c r="AI427" s="29"/>
      <c r="AS427" s="29"/>
      <c r="AU427" s="29"/>
      <c r="AV427" s="29"/>
      <c r="AX427" s="29"/>
      <c r="BC427" s="29"/>
      <c r="BD427" s="29"/>
    </row>
    <row r="428">
      <c r="B428" s="70"/>
      <c r="C428" s="70"/>
      <c r="D428" s="70"/>
      <c r="E428" s="70"/>
      <c r="AF428" s="29"/>
      <c r="AH428" s="29"/>
      <c r="AI428" s="29"/>
      <c r="AS428" s="29"/>
      <c r="AU428" s="29"/>
      <c r="AV428" s="29"/>
      <c r="AX428" s="29"/>
      <c r="BC428" s="29"/>
      <c r="BD428" s="29"/>
    </row>
    <row r="429">
      <c r="B429" s="70"/>
      <c r="C429" s="70"/>
      <c r="D429" s="70"/>
      <c r="E429" s="70"/>
      <c r="AF429" s="29"/>
      <c r="AH429" s="29"/>
      <c r="AI429" s="29"/>
      <c r="AS429" s="29"/>
      <c r="AU429" s="29"/>
      <c r="AV429" s="29"/>
      <c r="AX429" s="29"/>
      <c r="BC429" s="29"/>
      <c r="BD429" s="29"/>
    </row>
    <row r="430">
      <c r="B430" s="70"/>
      <c r="C430" s="70"/>
      <c r="D430" s="70"/>
      <c r="E430" s="70"/>
      <c r="AF430" s="29"/>
      <c r="AH430" s="29"/>
      <c r="AI430" s="29"/>
      <c r="AS430" s="29"/>
      <c r="AU430" s="29"/>
      <c r="AV430" s="29"/>
      <c r="AX430" s="29"/>
      <c r="BC430" s="29"/>
      <c r="BD430" s="29"/>
    </row>
    <row r="431">
      <c r="B431" s="70"/>
      <c r="C431" s="70"/>
      <c r="D431" s="70"/>
      <c r="E431" s="70"/>
      <c r="AF431" s="29"/>
      <c r="AH431" s="29"/>
      <c r="AI431" s="29"/>
      <c r="AS431" s="29"/>
      <c r="AU431" s="29"/>
      <c r="AV431" s="29"/>
      <c r="AX431" s="29"/>
      <c r="BC431" s="29"/>
      <c r="BD431" s="29"/>
    </row>
    <row r="432">
      <c r="B432" s="70"/>
      <c r="C432" s="70"/>
      <c r="D432" s="70"/>
      <c r="E432" s="70"/>
      <c r="AF432" s="29"/>
      <c r="AH432" s="29"/>
      <c r="AI432" s="29"/>
      <c r="AS432" s="29"/>
      <c r="AU432" s="29"/>
      <c r="AV432" s="29"/>
      <c r="AX432" s="29"/>
      <c r="BC432" s="29"/>
      <c r="BD432" s="29"/>
    </row>
    <row r="433">
      <c r="B433" s="70"/>
      <c r="C433" s="70"/>
      <c r="D433" s="70"/>
      <c r="E433" s="70"/>
      <c r="AF433" s="29"/>
      <c r="AH433" s="29"/>
      <c r="AI433" s="29"/>
      <c r="AS433" s="29"/>
      <c r="AU433" s="29"/>
      <c r="AV433" s="29"/>
      <c r="AX433" s="29"/>
      <c r="BC433" s="29"/>
      <c r="BD433" s="29"/>
    </row>
    <row r="434">
      <c r="B434" s="70"/>
      <c r="C434" s="70"/>
      <c r="D434" s="70"/>
      <c r="E434" s="70"/>
      <c r="AF434" s="29"/>
      <c r="AH434" s="29"/>
      <c r="AI434" s="29"/>
      <c r="AS434" s="29"/>
      <c r="AU434" s="29"/>
      <c r="AV434" s="29"/>
      <c r="AX434" s="29"/>
      <c r="BC434" s="29"/>
      <c r="BD434" s="29"/>
    </row>
    <row r="435">
      <c r="B435" s="70"/>
      <c r="C435" s="70"/>
      <c r="D435" s="70"/>
      <c r="E435" s="70"/>
      <c r="AF435" s="29"/>
      <c r="AH435" s="29"/>
      <c r="AI435" s="29"/>
      <c r="AS435" s="29"/>
      <c r="AU435" s="29"/>
      <c r="AV435" s="29"/>
      <c r="AX435" s="29"/>
      <c r="BC435" s="29"/>
      <c r="BD435" s="29"/>
    </row>
    <row r="436">
      <c r="B436" s="70"/>
      <c r="C436" s="70"/>
      <c r="D436" s="70"/>
      <c r="E436" s="70"/>
      <c r="AF436" s="29"/>
      <c r="AH436" s="29"/>
      <c r="AI436" s="29"/>
      <c r="AS436" s="29"/>
      <c r="AU436" s="29"/>
      <c r="AV436" s="29"/>
      <c r="AX436" s="29"/>
      <c r="BC436" s="29"/>
      <c r="BD436" s="29"/>
    </row>
    <row r="437">
      <c r="B437" s="70"/>
      <c r="C437" s="70"/>
      <c r="D437" s="70"/>
      <c r="E437" s="70"/>
      <c r="AF437" s="29"/>
      <c r="AH437" s="29"/>
      <c r="AI437" s="29"/>
      <c r="AS437" s="29"/>
      <c r="AU437" s="29"/>
      <c r="AV437" s="29"/>
      <c r="AX437" s="29"/>
      <c r="BC437" s="29"/>
      <c r="BD437" s="29"/>
    </row>
    <row r="438">
      <c r="B438" s="70"/>
      <c r="C438" s="70"/>
      <c r="D438" s="70"/>
      <c r="E438" s="70"/>
      <c r="AF438" s="29"/>
      <c r="AH438" s="29"/>
      <c r="AI438" s="29"/>
      <c r="AS438" s="29"/>
      <c r="AU438" s="29"/>
      <c r="AV438" s="29"/>
      <c r="AX438" s="29"/>
      <c r="BC438" s="29"/>
      <c r="BD438" s="29"/>
    </row>
    <row r="439">
      <c r="B439" s="70"/>
      <c r="C439" s="70"/>
      <c r="D439" s="70"/>
      <c r="E439" s="70"/>
      <c r="AF439" s="29"/>
      <c r="AH439" s="29"/>
      <c r="AI439" s="29"/>
      <c r="AS439" s="29"/>
      <c r="AU439" s="29"/>
      <c r="AV439" s="29"/>
      <c r="AX439" s="29"/>
      <c r="BC439" s="29"/>
      <c r="BD439" s="29"/>
    </row>
    <row r="440">
      <c r="B440" s="70"/>
      <c r="C440" s="70"/>
      <c r="D440" s="70"/>
      <c r="E440" s="70"/>
      <c r="AF440" s="29"/>
      <c r="AH440" s="29"/>
      <c r="AI440" s="29"/>
      <c r="AS440" s="29"/>
      <c r="AU440" s="29"/>
      <c r="AV440" s="29"/>
      <c r="AX440" s="29"/>
      <c r="BC440" s="29"/>
      <c r="BD440" s="29"/>
    </row>
    <row r="441">
      <c r="B441" s="70"/>
      <c r="C441" s="70"/>
      <c r="D441" s="70"/>
      <c r="E441" s="70"/>
      <c r="AF441" s="29"/>
      <c r="AH441" s="29"/>
      <c r="AI441" s="29"/>
      <c r="AS441" s="29"/>
      <c r="AU441" s="29"/>
      <c r="AV441" s="29"/>
      <c r="AX441" s="29"/>
      <c r="BC441" s="29"/>
      <c r="BD441" s="29"/>
    </row>
    <row r="442">
      <c r="B442" s="70"/>
      <c r="C442" s="70"/>
      <c r="D442" s="70"/>
      <c r="E442" s="70"/>
      <c r="AF442" s="29"/>
      <c r="AH442" s="29"/>
      <c r="AI442" s="29"/>
      <c r="AS442" s="29"/>
      <c r="AU442" s="29"/>
      <c r="AV442" s="29"/>
      <c r="AX442" s="29"/>
      <c r="BC442" s="29"/>
      <c r="BD442" s="29"/>
    </row>
    <row r="443">
      <c r="B443" s="70"/>
      <c r="C443" s="70"/>
      <c r="D443" s="70"/>
      <c r="E443" s="70"/>
      <c r="AF443" s="29"/>
      <c r="AH443" s="29"/>
      <c r="AI443" s="29"/>
      <c r="AS443" s="29"/>
      <c r="AU443" s="29"/>
      <c r="AV443" s="29"/>
      <c r="AX443" s="29"/>
      <c r="BC443" s="29"/>
      <c r="BD443" s="29"/>
    </row>
    <row r="444">
      <c r="B444" s="70"/>
      <c r="C444" s="70"/>
      <c r="D444" s="70"/>
      <c r="E444" s="70"/>
      <c r="AF444" s="29"/>
      <c r="AH444" s="29"/>
      <c r="AI444" s="29"/>
      <c r="AS444" s="29"/>
      <c r="AU444" s="29"/>
      <c r="AV444" s="29"/>
      <c r="AX444" s="29"/>
      <c r="BC444" s="29"/>
      <c r="BD444" s="29"/>
    </row>
    <row r="445">
      <c r="B445" s="70"/>
      <c r="C445" s="70"/>
      <c r="D445" s="70"/>
      <c r="E445" s="70"/>
      <c r="AF445" s="29"/>
      <c r="AH445" s="29"/>
      <c r="AI445" s="29"/>
      <c r="AS445" s="29"/>
      <c r="AU445" s="29"/>
      <c r="AV445" s="29"/>
      <c r="AX445" s="29"/>
      <c r="BC445" s="29"/>
      <c r="BD445" s="29"/>
    </row>
    <row r="446">
      <c r="B446" s="70"/>
      <c r="C446" s="70"/>
      <c r="D446" s="70"/>
      <c r="E446" s="70"/>
      <c r="AF446" s="29"/>
      <c r="AH446" s="29"/>
      <c r="AI446" s="29"/>
      <c r="AS446" s="29"/>
      <c r="AU446" s="29"/>
      <c r="AV446" s="29"/>
      <c r="AX446" s="29"/>
      <c r="BC446" s="29"/>
      <c r="BD446" s="29"/>
    </row>
    <row r="447">
      <c r="B447" s="70"/>
      <c r="C447" s="70"/>
      <c r="D447" s="70"/>
      <c r="E447" s="70"/>
      <c r="AF447" s="29"/>
      <c r="AH447" s="29"/>
      <c r="AI447" s="29"/>
      <c r="AS447" s="29"/>
      <c r="AU447" s="29"/>
      <c r="AV447" s="29"/>
      <c r="AX447" s="29"/>
      <c r="BC447" s="29"/>
      <c r="BD447" s="29"/>
    </row>
    <row r="448">
      <c r="B448" s="70"/>
      <c r="C448" s="70"/>
      <c r="D448" s="70"/>
      <c r="E448" s="70"/>
      <c r="AF448" s="29"/>
      <c r="AH448" s="29"/>
      <c r="AI448" s="29"/>
      <c r="AS448" s="29"/>
      <c r="AU448" s="29"/>
      <c r="AV448" s="29"/>
      <c r="AX448" s="29"/>
      <c r="BC448" s="29"/>
      <c r="BD448" s="29"/>
    </row>
    <row r="449">
      <c r="B449" s="70"/>
      <c r="C449" s="70"/>
      <c r="D449" s="70"/>
      <c r="E449" s="70"/>
      <c r="AF449" s="29"/>
      <c r="AH449" s="29"/>
      <c r="AI449" s="29"/>
      <c r="AS449" s="29"/>
      <c r="AU449" s="29"/>
      <c r="AV449" s="29"/>
      <c r="AX449" s="29"/>
      <c r="BC449" s="29"/>
      <c r="BD449" s="29"/>
    </row>
    <row r="450">
      <c r="B450" s="70"/>
      <c r="C450" s="70"/>
      <c r="D450" s="70"/>
      <c r="E450" s="70"/>
      <c r="AF450" s="29"/>
      <c r="AH450" s="29"/>
      <c r="AI450" s="29"/>
      <c r="AS450" s="29"/>
      <c r="AU450" s="29"/>
      <c r="AV450" s="29"/>
      <c r="AX450" s="29"/>
      <c r="BC450" s="29"/>
      <c r="BD450" s="29"/>
    </row>
    <row r="451">
      <c r="B451" s="70"/>
      <c r="C451" s="70"/>
      <c r="D451" s="70"/>
      <c r="E451" s="70"/>
      <c r="AF451" s="29"/>
      <c r="AH451" s="29"/>
      <c r="AI451" s="29"/>
      <c r="AS451" s="29"/>
      <c r="AU451" s="29"/>
      <c r="AV451" s="29"/>
      <c r="AX451" s="29"/>
      <c r="BC451" s="29"/>
      <c r="BD451" s="29"/>
    </row>
    <row r="452">
      <c r="B452" s="70"/>
      <c r="C452" s="70"/>
      <c r="D452" s="70"/>
      <c r="E452" s="70"/>
      <c r="AF452" s="29"/>
      <c r="AH452" s="29"/>
      <c r="AI452" s="29"/>
      <c r="AS452" s="29"/>
      <c r="AU452" s="29"/>
      <c r="AV452" s="29"/>
      <c r="AX452" s="29"/>
      <c r="BC452" s="29"/>
      <c r="BD452" s="29"/>
    </row>
    <row r="453">
      <c r="B453" s="70"/>
      <c r="C453" s="70"/>
      <c r="D453" s="70"/>
      <c r="E453" s="70"/>
      <c r="AF453" s="29"/>
      <c r="AH453" s="29"/>
      <c r="AI453" s="29"/>
      <c r="AS453" s="29"/>
      <c r="AU453" s="29"/>
      <c r="AV453" s="29"/>
      <c r="AX453" s="29"/>
      <c r="BC453" s="29"/>
      <c r="BD453" s="29"/>
    </row>
    <row r="454">
      <c r="B454" s="70"/>
      <c r="C454" s="70"/>
      <c r="D454" s="70"/>
      <c r="E454" s="70"/>
      <c r="AF454" s="29"/>
      <c r="AH454" s="29"/>
      <c r="AI454" s="29"/>
      <c r="AS454" s="29"/>
      <c r="AU454" s="29"/>
      <c r="AV454" s="29"/>
      <c r="AX454" s="29"/>
      <c r="BC454" s="29"/>
      <c r="BD454" s="29"/>
    </row>
    <row r="455">
      <c r="B455" s="70"/>
      <c r="C455" s="70"/>
      <c r="D455" s="70"/>
      <c r="E455" s="70"/>
      <c r="AF455" s="29"/>
      <c r="AH455" s="29"/>
      <c r="AI455" s="29"/>
      <c r="AS455" s="29"/>
      <c r="AU455" s="29"/>
      <c r="AV455" s="29"/>
      <c r="AX455" s="29"/>
      <c r="BC455" s="29"/>
      <c r="BD455" s="29"/>
    </row>
    <row r="456">
      <c r="B456" s="70"/>
      <c r="C456" s="70"/>
      <c r="D456" s="70"/>
      <c r="E456" s="70"/>
      <c r="AF456" s="29"/>
      <c r="AH456" s="29"/>
      <c r="AI456" s="29"/>
      <c r="AS456" s="29"/>
      <c r="AU456" s="29"/>
      <c r="AV456" s="29"/>
      <c r="AX456" s="29"/>
      <c r="BC456" s="29"/>
      <c r="BD456" s="29"/>
    </row>
    <row r="457">
      <c r="B457" s="70"/>
      <c r="C457" s="70"/>
      <c r="D457" s="70"/>
      <c r="E457" s="70"/>
      <c r="AF457" s="29"/>
      <c r="AH457" s="29"/>
      <c r="AI457" s="29"/>
      <c r="AS457" s="29"/>
      <c r="AU457" s="29"/>
      <c r="AV457" s="29"/>
      <c r="AX457" s="29"/>
      <c r="BC457" s="29"/>
      <c r="BD457" s="29"/>
    </row>
    <row r="458">
      <c r="B458" s="70"/>
      <c r="C458" s="70"/>
      <c r="D458" s="70"/>
      <c r="E458" s="70"/>
      <c r="AF458" s="29"/>
      <c r="AH458" s="29"/>
      <c r="AI458" s="29"/>
      <c r="AS458" s="29"/>
      <c r="AU458" s="29"/>
      <c r="AV458" s="29"/>
      <c r="AX458" s="29"/>
      <c r="BC458" s="29"/>
      <c r="BD458" s="29"/>
    </row>
    <row r="459">
      <c r="B459" s="70"/>
      <c r="C459" s="70"/>
      <c r="D459" s="70"/>
      <c r="E459" s="70"/>
      <c r="AF459" s="29"/>
      <c r="AH459" s="29"/>
      <c r="AI459" s="29"/>
      <c r="AS459" s="29"/>
      <c r="AU459" s="29"/>
      <c r="AV459" s="29"/>
      <c r="AX459" s="29"/>
      <c r="BC459" s="29"/>
      <c r="BD459" s="29"/>
    </row>
    <row r="460">
      <c r="B460" s="70"/>
      <c r="C460" s="70"/>
      <c r="D460" s="70"/>
      <c r="E460" s="70"/>
      <c r="AF460" s="29"/>
      <c r="AH460" s="29"/>
      <c r="AI460" s="29"/>
      <c r="AS460" s="29"/>
      <c r="AU460" s="29"/>
      <c r="AV460" s="29"/>
      <c r="AX460" s="29"/>
      <c r="BC460" s="29"/>
      <c r="BD460" s="29"/>
    </row>
    <row r="461">
      <c r="B461" s="70"/>
      <c r="C461" s="70"/>
      <c r="D461" s="70"/>
      <c r="E461" s="70"/>
      <c r="AF461" s="29"/>
      <c r="AH461" s="29"/>
      <c r="AI461" s="29"/>
      <c r="AS461" s="29"/>
      <c r="AU461" s="29"/>
      <c r="AV461" s="29"/>
      <c r="AX461" s="29"/>
      <c r="BC461" s="29"/>
      <c r="BD461" s="29"/>
    </row>
    <row r="462">
      <c r="B462" s="70"/>
      <c r="C462" s="70"/>
      <c r="D462" s="70"/>
      <c r="E462" s="70"/>
      <c r="AF462" s="29"/>
      <c r="AH462" s="29"/>
      <c r="AI462" s="29"/>
      <c r="AS462" s="29"/>
      <c r="AU462" s="29"/>
      <c r="AV462" s="29"/>
      <c r="AX462" s="29"/>
      <c r="BC462" s="29"/>
      <c r="BD462" s="29"/>
    </row>
    <row r="463">
      <c r="B463" s="70"/>
      <c r="C463" s="70"/>
      <c r="D463" s="70"/>
      <c r="E463" s="70"/>
      <c r="AF463" s="29"/>
      <c r="AH463" s="29"/>
      <c r="AI463" s="29"/>
      <c r="AS463" s="29"/>
      <c r="AU463" s="29"/>
      <c r="AV463" s="29"/>
      <c r="AX463" s="29"/>
      <c r="BC463" s="29"/>
      <c r="BD463" s="29"/>
    </row>
    <row r="464">
      <c r="B464" s="70"/>
      <c r="C464" s="70"/>
      <c r="D464" s="70"/>
      <c r="E464" s="70"/>
      <c r="AF464" s="29"/>
      <c r="AH464" s="29"/>
      <c r="AI464" s="29"/>
      <c r="AS464" s="29"/>
      <c r="AU464" s="29"/>
      <c r="AV464" s="29"/>
      <c r="AX464" s="29"/>
      <c r="BC464" s="29"/>
      <c r="BD464" s="29"/>
    </row>
    <row r="465">
      <c r="B465" s="70"/>
      <c r="C465" s="70"/>
      <c r="D465" s="70"/>
      <c r="E465" s="70"/>
      <c r="AF465" s="29"/>
      <c r="AH465" s="29"/>
      <c r="AI465" s="29"/>
      <c r="AS465" s="29"/>
      <c r="AU465" s="29"/>
      <c r="AV465" s="29"/>
      <c r="AX465" s="29"/>
      <c r="BC465" s="29"/>
      <c r="BD465" s="29"/>
    </row>
    <row r="466">
      <c r="B466" s="70"/>
      <c r="C466" s="70"/>
      <c r="D466" s="70"/>
      <c r="E466" s="70"/>
      <c r="AF466" s="29"/>
      <c r="AH466" s="29"/>
      <c r="AI466" s="29"/>
      <c r="AS466" s="29"/>
      <c r="AU466" s="29"/>
      <c r="AV466" s="29"/>
      <c r="AX466" s="29"/>
      <c r="BC466" s="29"/>
      <c r="BD466" s="29"/>
    </row>
    <row r="467">
      <c r="B467" s="70"/>
      <c r="C467" s="70"/>
      <c r="D467" s="70"/>
      <c r="E467" s="70"/>
      <c r="AF467" s="29"/>
      <c r="AH467" s="29"/>
      <c r="AI467" s="29"/>
      <c r="AS467" s="29"/>
      <c r="AU467" s="29"/>
      <c r="AV467" s="29"/>
      <c r="AX467" s="29"/>
      <c r="BC467" s="29"/>
      <c r="BD467" s="29"/>
    </row>
    <row r="468">
      <c r="B468" s="70"/>
      <c r="C468" s="70"/>
      <c r="D468" s="70"/>
      <c r="E468" s="70"/>
      <c r="AF468" s="29"/>
      <c r="AH468" s="29"/>
      <c r="AI468" s="29"/>
      <c r="AS468" s="29"/>
      <c r="AU468" s="29"/>
      <c r="AV468" s="29"/>
      <c r="AX468" s="29"/>
      <c r="BC468" s="29"/>
      <c r="BD468" s="29"/>
    </row>
    <row r="469">
      <c r="B469" s="70"/>
      <c r="C469" s="70"/>
      <c r="D469" s="70"/>
      <c r="E469" s="70"/>
      <c r="AF469" s="29"/>
      <c r="AH469" s="29"/>
      <c r="AI469" s="29"/>
      <c r="AS469" s="29"/>
      <c r="AU469" s="29"/>
      <c r="AV469" s="29"/>
      <c r="AX469" s="29"/>
      <c r="BC469" s="29"/>
      <c r="BD469" s="29"/>
    </row>
    <row r="470">
      <c r="B470" s="70"/>
      <c r="C470" s="70"/>
      <c r="D470" s="70"/>
      <c r="E470" s="70"/>
      <c r="AF470" s="29"/>
      <c r="AH470" s="29"/>
      <c r="AI470" s="29"/>
      <c r="AS470" s="29"/>
      <c r="AU470" s="29"/>
      <c r="AV470" s="29"/>
      <c r="AX470" s="29"/>
      <c r="BC470" s="29"/>
      <c r="BD470" s="29"/>
    </row>
    <row r="471">
      <c r="B471" s="70"/>
      <c r="C471" s="70"/>
      <c r="D471" s="70"/>
      <c r="E471" s="70"/>
      <c r="AF471" s="29"/>
      <c r="AH471" s="29"/>
      <c r="AI471" s="29"/>
      <c r="AS471" s="29"/>
      <c r="AU471" s="29"/>
      <c r="AV471" s="29"/>
      <c r="AX471" s="29"/>
      <c r="BC471" s="29"/>
      <c r="BD471" s="29"/>
    </row>
    <row r="472">
      <c r="B472" s="70"/>
      <c r="C472" s="70"/>
      <c r="D472" s="70"/>
      <c r="E472" s="70"/>
      <c r="AF472" s="29"/>
      <c r="AH472" s="29"/>
      <c r="AI472" s="29"/>
      <c r="AS472" s="29"/>
      <c r="AU472" s="29"/>
      <c r="AV472" s="29"/>
      <c r="AX472" s="29"/>
      <c r="BC472" s="29"/>
      <c r="BD472" s="29"/>
    </row>
    <row r="473">
      <c r="B473" s="70"/>
      <c r="C473" s="70"/>
      <c r="D473" s="70"/>
      <c r="E473" s="70"/>
      <c r="AF473" s="29"/>
      <c r="AH473" s="29"/>
      <c r="AI473" s="29"/>
      <c r="AS473" s="29"/>
      <c r="AU473" s="29"/>
      <c r="AV473" s="29"/>
      <c r="AX473" s="29"/>
      <c r="BC473" s="29"/>
      <c r="BD473" s="29"/>
    </row>
    <row r="474">
      <c r="B474" s="70"/>
      <c r="C474" s="70"/>
      <c r="D474" s="70"/>
      <c r="E474" s="70"/>
      <c r="AF474" s="29"/>
      <c r="AH474" s="29"/>
      <c r="AI474" s="29"/>
      <c r="AS474" s="29"/>
      <c r="AU474" s="29"/>
      <c r="AV474" s="29"/>
      <c r="AX474" s="29"/>
      <c r="BC474" s="29"/>
      <c r="BD474" s="29"/>
    </row>
    <row r="475">
      <c r="B475" s="70"/>
      <c r="C475" s="70"/>
      <c r="D475" s="70"/>
      <c r="E475" s="70"/>
      <c r="AF475" s="29"/>
      <c r="AH475" s="29"/>
      <c r="AI475" s="29"/>
      <c r="AS475" s="29"/>
      <c r="AU475" s="29"/>
      <c r="AV475" s="29"/>
      <c r="AX475" s="29"/>
      <c r="BC475" s="29"/>
      <c r="BD475" s="29"/>
    </row>
    <row r="476">
      <c r="B476" s="70"/>
      <c r="C476" s="70"/>
      <c r="D476" s="70"/>
      <c r="E476" s="70"/>
      <c r="AF476" s="29"/>
      <c r="AH476" s="29"/>
      <c r="AI476" s="29"/>
      <c r="AS476" s="29"/>
      <c r="AU476" s="29"/>
      <c r="AV476" s="29"/>
      <c r="AX476" s="29"/>
      <c r="BC476" s="29"/>
      <c r="BD476" s="29"/>
    </row>
    <row r="477">
      <c r="B477" s="70"/>
      <c r="C477" s="70"/>
      <c r="D477" s="70"/>
      <c r="E477" s="70"/>
      <c r="AF477" s="29"/>
      <c r="AH477" s="29"/>
      <c r="AI477" s="29"/>
      <c r="AS477" s="29"/>
      <c r="AU477" s="29"/>
      <c r="AV477" s="29"/>
      <c r="AX477" s="29"/>
      <c r="BC477" s="29"/>
      <c r="BD477" s="29"/>
    </row>
    <row r="478">
      <c r="B478" s="70"/>
      <c r="C478" s="70"/>
      <c r="D478" s="70"/>
      <c r="E478" s="70"/>
      <c r="AF478" s="29"/>
      <c r="AH478" s="29"/>
      <c r="AI478" s="29"/>
      <c r="AS478" s="29"/>
      <c r="AU478" s="29"/>
      <c r="AV478" s="29"/>
      <c r="AX478" s="29"/>
      <c r="BC478" s="29"/>
      <c r="BD478" s="29"/>
    </row>
    <row r="479">
      <c r="B479" s="70"/>
      <c r="C479" s="70"/>
      <c r="D479" s="70"/>
      <c r="E479" s="70"/>
      <c r="AF479" s="29"/>
      <c r="AH479" s="29"/>
      <c r="AI479" s="29"/>
      <c r="AS479" s="29"/>
      <c r="AU479" s="29"/>
      <c r="AV479" s="29"/>
      <c r="AX479" s="29"/>
      <c r="BC479" s="29"/>
      <c r="BD479" s="29"/>
    </row>
    <row r="480">
      <c r="B480" s="70"/>
      <c r="C480" s="70"/>
      <c r="D480" s="70"/>
      <c r="E480" s="70"/>
      <c r="AF480" s="29"/>
      <c r="AH480" s="29"/>
      <c r="AI480" s="29"/>
      <c r="AS480" s="29"/>
      <c r="AU480" s="29"/>
      <c r="AV480" s="29"/>
      <c r="AX480" s="29"/>
      <c r="BC480" s="29"/>
      <c r="BD480" s="29"/>
    </row>
    <row r="481">
      <c r="B481" s="70"/>
      <c r="C481" s="70"/>
      <c r="D481" s="70"/>
      <c r="E481" s="70"/>
      <c r="AF481" s="29"/>
      <c r="AH481" s="29"/>
      <c r="AI481" s="29"/>
      <c r="AS481" s="29"/>
      <c r="AU481" s="29"/>
      <c r="AV481" s="29"/>
      <c r="AX481" s="29"/>
      <c r="BC481" s="29"/>
      <c r="BD481" s="29"/>
    </row>
    <row r="482">
      <c r="B482" s="70"/>
      <c r="C482" s="70"/>
      <c r="D482" s="70"/>
      <c r="E482" s="70"/>
      <c r="AF482" s="29"/>
      <c r="AH482" s="29"/>
      <c r="AI482" s="29"/>
      <c r="AS482" s="29"/>
      <c r="AU482" s="29"/>
      <c r="AV482" s="29"/>
      <c r="AX482" s="29"/>
      <c r="BC482" s="29"/>
      <c r="BD482" s="29"/>
    </row>
    <row r="483">
      <c r="B483" s="70"/>
      <c r="C483" s="70"/>
      <c r="D483" s="70"/>
      <c r="E483" s="70"/>
      <c r="AF483" s="29"/>
      <c r="AH483" s="29"/>
      <c r="AI483" s="29"/>
      <c r="AS483" s="29"/>
      <c r="AU483" s="29"/>
      <c r="AV483" s="29"/>
      <c r="AX483" s="29"/>
      <c r="BC483" s="29"/>
      <c r="BD483" s="29"/>
    </row>
    <row r="484">
      <c r="B484" s="70"/>
      <c r="C484" s="70"/>
      <c r="D484" s="70"/>
      <c r="E484" s="70"/>
      <c r="AF484" s="29"/>
      <c r="AH484" s="29"/>
      <c r="AI484" s="29"/>
      <c r="AS484" s="29"/>
      <c r="AU484" s="29"/>
      <c r="AV484" s="29"/>
      <c r="AX484" s="29"/>
      <c r="BC484" s="29"/>
      <c r="BD484" s="29"/>
    </row>
    <row r="485">
      <c r="B485" s="70"/>
      <c r="C485" s="70"/>
      <c r="D485" s="70"/>
      <c r="E485" s="70"/>
      <c r="AF485" s="29"/>
      <c r="AH485" s="29"/>
      <c r="AI485" s="29"/>
      <c r="AS485" s="29"/>
      <c r="AU485" s="29"/>
      <c r="AV485" s="29"/>
      <c r="AX485" s="29"/>
      <c r="BC485" s="29"/>
      <c r="BD485" s="29"/>
    </row>
    <row r="486">
      <c r="B486" s="70"/>
      <c r="C486" s="70"/>
      <c r="D486" s="70"/>
      <c r="E486" s="70"/>
      <c r="AF486" s="29"/>
      <c r="AH486" s="29"/>
      <c r="AI486" s="29"/>
      <c r="AS486" s="29"/>
      <c r="AU486" s="29"/>
      <c r="AV486" s="29"/>
      <c r="AX486" s="29"/>
      <c r="BC486" s="29"/>
      <c r="BD486" s="29"/>
    </row>
    <row r="487">
      <c r="B487" s="70"/>
      <c r="C487" s="70"/>
      <c r="D487" s="70"/>
      <c r="E487" s="70"/>
      <c r="AF487" s="29"/>
      <c r="AH487" s="29"/>
      <c r="AI487" s="29"/>
      <c r="AS487" s="29"/>
      <c r="AU487" s="29"/>
      <c r="AV487" s="29"/>
      <c r="AX487" s="29"/>
      <c r="BC487" s="29"/>
      <c r="BD487" s="29"/>
    </row>
    <row r="488">
      <c r="B488" s="70"/>
      <c r="C488" s="70"/>
      <c r="D488" s="70"/>
      <c r="E488" s="70"/>
      <c r="AF488" s="29"/>
      <c r="AH488" s="29"/>
      <c r="AI488" s="29"/>
      <c r="AS488" s="29"/>
      <c r="AU488" s="29"/>
      <c r="AV488" s="29"/>
      <c r="AX488" s="29"/>
      <c r="BC488" s="29"/>
      <c r="BD488" s="29"/>
    </row>
    <row r="489">
      <c r="B489" s="70"/>
      <c r="C489" s="70"/>
      <c r="D489" s="70"/>
      <c r="E489" s="70"/>
      <c r="AF489" s="29"/>
      <c r="AH489" s="29"/>
      <c r="AI489" s="29"/>
      <c r="AS489" s="29"/>
      <c r="AU489" s="29"/>
      <c r="AV489" s="29"/>
      <c r="AX489" s="29"/>
      <c r="BC489" s="29"/>
      <c r="BD489" s="29"/>
    </row>
    <row r="490">
      <c r="B490" s="70"/>
      <c r="C490" s="70"/>
      <c r="D490" s="70"/>
      <c r="E490" s="70"/>
      <c r="AF490" s="29"/>
      <c r="AH490" s="29"/>
      <c r="AI490" s="29"/>
      <c r="AS490" s="29"/>
      <c r="AU490" s="29"/>
      <c r="AV490" s="29"/>
      <c r="AX490" s="29"/>
      <c r="BC490" s="29"/>
      <c r="BD490" s="29"/>
    </row>
    <row r="491">
      <c r="B491" s="70"/>
      <c r="C491" s="70"/>
      <c r="D491" s="70"/>
      <c r="E491" s="70"/>
      <c r="AF491" s="29"/>
      <c r="AH491" s="29"/>
      <c r="AI491" s="29"/>
      <c r="AS491" s="29"/>
      <c r="AU491" s="29"/>
      <c r="AV491" s="29"/>
      <c r="AX491" s="29"/>
      <c r="BC491" s="29"/>
      <c r="BD491" s="29"/>
    </row>
    <row r="492">
      <c r="B492" s="70"/>
      <c r="C492" s="70"/>
      <c r="D492" s="70"/>
      <c r="E492" s="70"/>
      <c r="AF492" s="29"/>
      <c r="AH492" s="29"/>
      <c r="AI492" s="29"/>
      <c r="AS492" s="29"/>
      <c r="AU492" s="29"/>
      <c r="AV492" s="29"/>
      <c r="AX492" s="29"/>
      <c r="BC492" s="29"/>
      <c r="BD492" s="29"/>
    </row>
    <row r="493">
      <c r="B493" s="70"/>
      <c r="C493" s="70"/>
      <c r="D493" s="70"/>
      <c r="E493" s="70"/>
      <c r="AF493" s="29"/>
      <c r="AH493" s="29"/>
      <c r="AI493" s="29"/>
      <c r="AS493" s="29"/>
      <c r="AU493" s="29"/>
      <c r="AV493" s="29"/>
      <c r="AX493" s="29"/>
      <c r="BC493" s="29"/>
      <c r="BD493" s="29"/>
    </row>
    <row r="494">
      <c r="B494" s="70"/>
      <c r="C494" s="70"/>
      <c r="D494" s="70"/>
      <c r="E494" s="70"/>
      <c r="AF494" s="29"/>
      <c r="AH494" s="29"/>
      <c r="AI494" s="29"/>
      <c r="AS494" s="29"/>
      <c r="AU494" s="29"/>
      <c r="AV494" s="29"/>
      <c r="AX494" s="29"/>
      <c r="BC494" s="29"/>
      <c r="BD494" s="29"/>
    </row>
    <row r="495">
      <c r="B495" s="70"/>
      <c r="C495" s="70"/>
      <c r="D495" s="70"/>
      <c r="E495" s="70"/>
      <c r="AF495" s="29"/>
      <c r="AH495" s="29"/>
      <c r="AI495" s="29"/>
      <c r="AS495" s="29"/>
      <c r="AU495" s="29"/>
      <c r="AV495" s="29"/>
      <c r="AX495" s="29"/>
      <c r="BC495" s="29"/>
      <c r="BD495" s="29"/>
    </row>
    <row r="496">
      <c r="B496" s="70"/>
      <c r="C496" s="70"/>
      <c r="D496" s="70"/>
      <c r="E496" s="70"/>
      <c r="AF496" s="29"/>
      <c r="AH496" s="29"/>
      <c r="AI496" s="29"/>
      <c r="AS496" s="29"/>
      <c r="AU496" s="29"/>
      <c r="AV496" s="29"/>
      <c r="AX496" s="29"/>
      <c r="BC496" s="29"/>
      <c r="BD496" s="29"/>
    </row>
    <row r="497">
      <c r="B497" s="70"/>
      <c r="C497" s="70"/>
      <c r="D497" s="70"/>
      <c r="E497" s="70"/>
      <c r="AF497" s="29"/>
      <c r="AH497" s="29"/>
      <c r="AI497" s="29"/>
      <c r="AS497" s="29"/>
      <c r="AU497" s="29"/>
      <c r="AV497" s="29"/>
      <c r="AX497" s="29"/>
      <c r="BC497" s="29"/>
      <c r="BD497" s="29"/>
    </row>
    <row r="498">
      <c r="B498" s="70"/>
      <c r="C498" s="70"/>
      <c r="D498" s="70"/>
      <c r="E498" s="70"/>
      <c r="AF498" s="29"/>
      <c r="AH498" s="29"/>
      <c r="AI498" s="29"/>
      <c r="AS498" s="29"/>
      <c r="AU498" s="29"/>
      <c r="AV498" s="29"/>
      <c r="AX498" s="29"/>
      <c r="BC498" s="29"/>
      <c r="BD498" s="29"/>
    </row>
    <row r="499">
      <c r="B499" s="70"/>
      <c r="C499" s="70"/>
      <c r="D499" s="70"/>
      <c r="E499" s="70"/>
      <c r="AF499" s="29"/>
      <c r="AH499" s="29"/>
      <c r="AI499" s="29"/>
      <c r="AS499" s="29"/>
      <c r="AU499" s="29"/>
      <c r="AV499" s="29"/>
      <c r="AX499" s="29"/>
      <c r="BC499" s="29"/>
      <c r="BD499" s="29"/>
    </row>
    <row r="500">
      <c r="B500" s="70"/>
      <c r="C500" s="70"/>
      <c r="D500" s="70"/>
      <c r="E500" s="70"/>
      <c r="AF500" s="29"/>
      <c r="AH500" s="29"/>
      <c r="AI500" s="29"/>
      <c r="AS500" s="29"/>
      <c r="AU500" s="29"/>
      <c r="AV500" s="29"/>
      <c r="AX500" s="29"/>
      <c r="BC500" s="29"/>
      <c r="BD500" s="29"/>
    </row>
    <row r="501">
      <c r="B501" s="70"/>
      <c r="C501" s="70"/>
      <c r="D501" s="70"/>
      <c r="E501" s="70"/>
      <c r="AF501" s="29"/>
      <c r="AH501" s="29"/>
      <c r="AI501" s="29"/>
      <c r="AS501" s="29"/>
      <c r="AU501" s="29"/>
      <c r="AV501" s="29"/>
      <c r="AX501" s="29"/>
      <c r="BC501" s="29"/>
      <c r="BD501" s="29"/>
    </row>
    <row r="502">
      <c r="B502" s="70"/>
      <c r="C502" s="70"/>
      <c r="D502" s="70"/>
      <c r="E502" s="70"/>
      <c r="AF502" s="29"/>
      <c r="AH502" s="29"/>
      <c r="AI502" s="29"/>
      <c r="AS502" s="29"/>
      <c r="AU502" s="29"/>
      <c r="AV502" s="29"/>
      <c r="AX502" s="29"/>
      <c r="BC502" s="29"/>
      <c r="BD502" s="29"/>
    </row>
    <row r="503">
      <c r="B503" s="70"/>
      <c r="C503" s="70"/>
      <c r="D503" s="70"/>
      <c r="E503" s="70"/>
      <c r="AF503" s="29"/>
      <c r="AH503" s="29"/>
      <c r="AI503" s="29"/>
      <c r="AS503" s="29"/>
      <c r="AU503" s="29"/>
      <c r="AV503" s="29"/>
      <c r="AX503" s="29"/>
      <c r="BC503" s="29"/>
      <c r="BD503" s="29"/>
    </row>
    <row r="504">
      <c r="B504" s="70"/>
      <c r="C504" s="70"/>
      <c r="D504" s="70"/>
      <c r="E504" s="70"/>
      <c r="AF504" s="29"/>
      <c r="AH504" s="29"/>
      <c r="AI504" s="29"/>
      <c r="AS504" s="29"/>
      <c r="AU504" s="29"/>
      <c r="AV504" s="29"/>
      <c r="AX504" s="29"/>
      <c r="BC504" s="29"/>
      <c r="BD504" s="29"/>
    </row>
    <row r="505">
      <c r="B505" s="70"/>
      <c r="C505" s="70"/>
      <c r="D505" s="70"/>
      <c r="E505" s="70"/>
      <c r="AF505" s="29"/>
      <c r="AH505" s="29"/>
      <c r="AI505" s="29"/>
      <c r="AS505" s="29"/>
      <c r="AU505" s="29"/>
      <c r="AV505" s="29"/>
      <c r="AX505" s="29"/>
      <c r="BC505" s="29"/>
      <c r="BD505" s="29"/>
    </row>
    <row r="506">
      <c r="B506" s="70"/>
      <c r="C506" s="70"/>
      <c r="D506" s="70"/>
      <c r="E506" s="70"/>
      <c r="AF506" s="29"/>
      <c r="AH506" s="29"/>
      <c r="AI506" s="29"/>
      <c r="AS506" s="29"/>
      <c r="AU506" s="29"/>
      <c r="AV506" s="29"/>
      <c r="AX506" s="29"/>
      <c r="BC506" s="29"/>
      <c r="BD506" s="29"/>
    </row>
    <row r="507">
      <c r="B507" s="70"/>
      <c r="C507" s="70"/>
      <c r="D507" s="70"/>
      <c r="E507" s="70"/>
      <c r="AF507" s="29"/>
      <c r="AH507" s="29"/>
      <c r="AI507" s="29"/>
      <c r="AS507" s="29"/>
      <c r="AU507" s="29"/>
      <c r="AV507" s="29"/>
      <c r="AX507" s="29"/>
      <c r="BC507" s="29"/>
      <c r="BD507" s="29"/>
    </row>
    <row r="508">
      <c r="B508" s="70"/>
      <c r="C508" s="70"/>
      <c r="D508" s="70"/>
      <c r="E508" s="70"/>
      <c r="AF508" s="29"/>
      <c r="AH508" s="29"/>
      <c r="AI508" s="29"/>
      <c r="AS508" s="29"/>
      <c r="AU508" s="29"/>
      <c r="AV508" s="29"/>
      <c r="AX508" s="29"/>
      <c r="BC508" s="29"/>
      <c r="BD508" s="29"/>
    </row>
    <row r="509">
      <c r="B509" s="70"/>
      <c r="C509" s="70"/>
      <c r="D509" s="70"/>
      <c r="E509" s="70"/>
      <c r="AF509" s="29"/>
      <c r="AH509" s="29"/>
      <c r="AI509" s="29"/>
      <c r="AS509" s="29"/>
      <c r="AU509" s="29"/>
      <c r="AV509" s="29"/>
      <c r="AX509" s="29"/>
      <c r="BC509" s="29"/>
      <c r="BD509" s="29"/>
    </row>
    <row r="510">
      <c r="B510" s="70"/>
      <c r="C510" s="70"/>
      <c r="D510" s="70"/>
      <c r="E510" s="70"/>
      <c r="AF510" s="29"/>
      <c r="AH510" s="29"/>
      <c r="AI510" s="29"/>
      <c r="AS510" s="29"/>
      <c r="AU510" s="29"/>
      <c r="AV510" s="29"/>
      <c r="AX510" s="29"/>
      <c r="BC510" s="29"/>
      <c r="BD510" s="29"/>
    </row>
    <row r="511">
      <c r="B511" s="70"/>
      <c r="C511" s="70"/>
      <c r="D511" s="70"/>
      <c r="E511" s="70"/>
      <c r="AF511" s="29"/>
      <c r="AH511" s="29"/>
      <c r="AI511" s="29"/>
      <c r="AS511" s="29"/>
      <c r="AU511" s="29"/>
      <c r="AV511" s="29"/>
      <c r="AX511" s="29"/>
      <c r="BC511" s="29"/>
      <c r="BD511" s="29"/>
    </row>
    <row r="512">
      <c r="B512" s="70"/>
      <c r="C512" s="70"/>
      <c r="D512" s="70"/>
      <c r="E512" s="70"/>
      <c r="AF512" s="29"/>
      <c r="AH512" s="29"/>
      <c r="AI512" s="29"/>
      <c r="AS512" s="29"/>
      <c r="AU512" s="29"/>
      <c r="AV512" s="29"/>
      <c r="AX512" s="29"/>
      <c r="BC512" s="29"/>
      <c r="BD512" s="29"/>
    </row>
    <row r="513">
      <c r="B513" s="70"/>
      <c r="C513" s="70"/>
      <c r="D513" s="70"/>
      <c r="E513" s="70"/>
      <c r="AF513" s="29"/>
      <c r="AH513" s="29"/>
      <c r="AI513" s="29"/>
      <c r="AS513" s="29"/>
      <c r="AU513" s="29"/>
      <c r="AV513" s="29"/>
      <c r="AX513" s="29"/>
      <c r="BC513" s="29"/>
      <c r="BD513" s="29"/>
    </row>
    <row r="514">
      <c r="B514" s="70"/>
      <c r="C514" s="70"/>
      <c r="D514" s="70"/>
      <c r="E514" s="70"/>
      <c r="AF514" s="29"/>
      <c r="AH514" s="29"/>
      <c r="AI514" s="29"/>
      <c r="AS514" s="29"/>
      <c r="AU514" s="29"/>
      <c r="AV514" s="29"/>
      <c r="AX514" s="29"/>
      <c r="BC514" s="29"/>
      <c r="BD514" s="29"/>
    </row>
    <row r="515">
      <c r="B515" s="70"/>
      <c r="C515" s="70"/>
      <c r="D515" s="70"/>
      <c r="E515" s="70"/>
      <c r="AF515" s="29"/>
      <c r="AH515" s="29"/>
      <c r="AI515" s="29"/>
      <c r="AS515" s="29"/>
      <c r="AU515" s="29"/>
      <c r="AV515" s="29"/>
      <c r="AX515" s="29"/>
      <c r="BC515" s="29"/>
      <c r="BD515" s="29"/>
    </row>
    <row r="516">
      <c r="B516" s="70"/>
      <c r="C516" s="70"/>
      <c r="D516" s="70"/>
      <c r="E516" s="70"/>
      <c r="AF516" s="29"/>
      <c r="AH516" s="29"/>
      <c r="AI516" s="29"/>
      <c r="AS516" s="29"/>
      <c r="AU516" s="29"/>
      <c r="AV516" s="29"/>
      <c r="AX516" s="29"/>
      <c r="BC516" s="29"/>
      <c r="BD516" s="29"/>
    </row>
    <row r="517">
      <c r="B517" s="70"/>
      <c r="C517" s="70"/>
      <c r="D517" s="70"/>
      <c r="E517" s="70"/>
      <c r="AF517" s="29"/>
      <c r="AH517" s="29"/>
      <c r="AI517" s="29"/>
      <c r="AS517" s="29"/>
      <c r="AU517" s="29"/>
      <c r="AV517" s="29"/>
      <c r="AX517" s="29"/>
      <c r="BC517" s="29"/>
      <c r="BD517" s="29"/>
    </row>
    <row r="518">
      <c r="B518" s="70"/>
      <c r="C518" s="70"/>
      <c r="D518" s="70"/>
      <c r="E518" s="70"/>
      <c r="AF518" s="29"/>
      <c r="AH518" s="29"/>
      <c r="AI518" s="29"/>
      <c r="AS518" s="29"/>
      <c r="AU518" s="29"/>
      <c r="AV518" s="29"/>
      <c r="AX518" s="29"/>
      <c r="BC518" s="29"/>
      <c r="BD518" s="29"/>
    </row>
    <row r="519">
      <c r="B519" s="70"/>
      <c r="C519" s="70"/>
      <c r="D519" s="70"/>
      <c r="E519" s="70"/>
      <c r="AF519" s="29"/>
      <c r="AH519" s="29"/>
      <c r="AI519" s="29"/>
      <c r="AS519" s="29"/>
      <c r="AU519" s="29"/>
      <c r="AV519" s="29"/>
      <c r="AX519" s="29"/>
      <c r="BC519" s="29"/>
      <c r="BD519" s="29"/>
    </row>
    <row r="520">
      <c r="B520" s="70"/>
      <c r="C520" s="70"/>
      <c r="D520" s="70"/>
      <c r="E520" s="70"/>
      <c r="AF520" s="29"/>
      <c r="AH520" s="29"/>
      <c r="AI520" s="29"/>
      <c r="AS520" s="29"/>
      <c r="AU520" s="29"/>
      <c r="AV520" s="29"/>
      <c r="AX520" s="29"/>
      <c r="BC520" s="29"/>
      <c r="BD520" s="29"/>
    </row>
    <row r="521">
      <c r="B521" s="70"/>
      <c r="C521" s="70"/>
      <c r="D521" s="70"/>
      <c r="E521" s="70"/>
      <c r="AF521" s="29"/>
      <c r="AH521" s="29"/>
      <c r="AI521" s="29"/>
      <c r="AS521" s="29"/>
      <c r="AU521" s="29"/>
      <c r="AV521" s="29"/>
      <c r="AX521" s="29"/>
      <c r="BC521" s="29"/>
      <c r="BD521" s="29"/>
    </row>
    <row r="522">
      <c r="B522" s="70"/>
      <c r="C522" s="70"/>
      <c r="D522" s="70"/>
      <c r="E522" s="70"/>
      <c r="AF522" s="29"/>
      <c r="AH522" s="29"/>
      <c r="AI522" s="29"/>
      <c r="AS522" s="29"/>
      <c r="AU522" s="29"/>
      <c r="AV522" s="29"/>
      <c r="AX522" s="29"/>
      <c r="BC522" s="29"/>
      <c r="BD522" s="29"/>
    </row>
    <row r="523">
      <c r="B523" s="70"/>
      <c r="C523" s="70"/>
      <c r="D523" s="70"/>
      <c r="E523" s="70"/>
      <c r="AF523" s="29"/>
      <c r="AH523" s="29"/>
      <c r="AI523" s="29"/>
      <c r="AS523" s="29"/>
      <c r="AU523" s="29"/>
      <c r="AV523" s="29"/>
      <c r="AX523" s="29"/>
      <c r="BC523" s="29"/>
      <c r="BD523" s="29"/>
    </row>
    <row r="524">
      <c r="B524" s="70"/>
      <c r="C524" s="70"/>
      <c r="D524" s="70"/>
      <c r="E524" s="70"/>
      <c r="AF524" s="29"/>
      <c r="AH524" s="29"/>
      <c r="AI524" s="29"/>
      <c r="AS524" s="29"/>
      <c r="AU524" s="29"/>
      <c r="AV524" s="29"/>
      <c r="AX524" s="29"/>
      <c r="BC524" s="29"/>
      <c r="BD524" s="29"/>
    </row>
    <row r="525">
      <c r="B525" s="70"/>
      <c r="C525" s="70"/>
      <c r="D525" s="70"/>
      <c r="E525" s="70"/>
      <c r="AF525" s="29"/>
      <c r="AH525" s="29"/>
      <c r="AI525" s="29"/>
      <c r="AS525" s="29"/>
      <c r="AU525" s="29"/>
      <c r="AV525" s="29"/>
      <c r="AX525" s="29"/>
      <c r="BC525" s="29"/>
      <c r="BD525" s="29"/>
    </row>
    <row r="526">
      <c r="B526" s="70"/>
      <c r="C526" s="70"/>
      <c r="D526" s="70"/>
      <c r="E526" s="70"/>
      <c r="AF526" s="29"/>
      <c r="AH526" s="29"/>
      <c r="AI526" s="29"/>
      <c r="AS526" s="29"/>
      <c r="AU526" s="29"/>
      <c r="AV526" s="29"/>
      <c r="AX526" s="29"/>
      <c r="BC526" s="29"/>
      <c r="BD526" s="29"/>
    </row>
    <row r="527">
      <c r="B527" s="70"/>
      <c r="C527" s="70"/>
      <c r="D527" s="70"/>
      <c r="E527" s="70"/>
      <c r="AF527" s="29"/>
      <c r="AH527" s="29"/>
      <c r="AI527" s="29"/>
      <c r="AS527" s="29"/>
      <c r="AU527" s="29"/>
      <c r="AV527" s="29"/>
      <c r="AX527" s="29"/>
      <c r="BC527" s="29"/>
      <c r="BD527" s="29"/>
    </row>
    <row r="528">
      <c r="B528" s="70"/>
      <c r="C528" s="70"/>
      <c r="D528" s="70"/>
      <c r="E528" s="70"/>
      <c r="AF528" s="29"/>
      <c r="AH528" s="29"/>
      <c r="AI528" s="29"/>
      <c r="AS528" s="29"/>
      <c r="AU528" s="29"/>
      <c r="AV528" s="29"/>
      <c r="AX528" s="29"/>
      <c r="BC528" s="29"/>
      <c r="BD528" s="29"/>
    </row>
    <row r="529">
      <c r="B529" s="70"/>
      <c r="C529" s="70"/>
      <c r="D529" s="70"/>
      <c r="E529" s="70"/>
      <c r="AF529" s="29"/>
      <c r="AH529" s="29"/>
      <c r="AI529" s="29"/>
      <c r="AS529" s="29"/>
      <c r="AU529" s="29"/>
      <c r="AV529" s="29"/>
      <c r="AX529" s="29"/>
      <c r="BC529" s="29"/>
      <c r="BD529" s="29"/>
    </row>
    <row r="530">
      <c r="B530" s="70"/>
      <c r="C530" s="70"/>
      <c r="D530" s="70"/>
      <c r="E530" s="70"/>
      <c r="AF530" s="29"/>
      <c r="AH530" s="29"/>
      <c r="AI530" s="29"/>
      <c r="AS530" s="29"/>
      <c r="AU530" s="29"/>
      <c r="AV530" s="29"/>
      <c r="AX530" s="29"/>
      <c r="BC530" s="29"/>
      <c r="BD530" s="29"/>
    </row>
    <row r="531">
      <c r="B531" s="70"/>
      <c r="C531" s="70"/>
      <c r="D531" s="70"/>
      <c r="E531" s="70"/>
      <c r="AF531" s="29"/>
      <c r="AH531" s="29"/>
      <c r="AI531" s="29"/>
      <c r="AS531" s="29"/>
      <c r="AU531" s="29"/>
      <c r="AV531" s="29"/>
      <c r="AX531" s="29"/>
      <c r="BC531" s="29"/>
      <c r="BD531" s="29"/>
    </row>
    <row r="532">
      <c r="B532" s="70"/>
      <c r="C532" s="70"/>
      <c r="D532" s="70"/>
      <c r="E532" s="70"/>
      <c r="AF532" s="29"/>
      <c r="AH532" s="29"/>
      <c r="AI532" s="29"/>
      <c r="AS532" s="29"/>
      <c r="AU532" s="29"/>
      <c r="AV532" s="29"/>
      <c r="AX532" s="29"/>
      <c r="BC532" s="29"/>
      <c r="BD532" s="29"/>
    </row>
    <row r="533">
      <c r="B533" s="70"/>
      <c r="C533" s="70"/>
      <c r="D533" s="70"/>
      <c r="E533" s="70"/>
      <c r="AF533" s="29"/>
      <c r="AH533" s="29"/>
      <c r="AI533" s="29"/>
      <c r="AS533" s="29"/>
      <c r="AU533" s="29"/>
      <c r="AV533" s="29"/>
      <c r="AX533" s="29"/>
      <c r="BC533" s="29"/>
      <c r="BD533" s="29"/>
    </row>
    <row r="534">
      <c r="B534" s="70"/>
      <c r="C534" s="70"/>
      <c r="D534" s="70"/>
      <c r="E534" s="70"/>
      <c r="AF534" s="29"/>
      <c r="AH534" s="29"/>
      <c r="AI534" s="29"/>
      <c r="AS534" s="29"/>
      <c r="AU534" s="29"/>
      <c r="AV534" s="29"/>
      <c r="AX534" s="29"/>
      <c r="BC534" s="29"/>
      <c r="BD534" s="29"/>
    </row>
    <row r="535">
      <c r="B535" s="70"/>
      <c r="C535" s="70"/>
      <c r="D535" s="70"/>
      <c r="E535" s="70"/>
      <c r="AF535" s="29"/>
      <c r="AH535" s="29"/>
      <c r="AI535" s="29"/>
      <c r="AS535" s="29"/>
      <c r="AU535" s="29"/>
      <c r="AV535" s="29"/>
      <c r="AX535" s="29"/>
      <c r="BC535" s="29"/>
      <c r="BD535" s="29"/>
    </row>
    <row r="536">
      <c r="B536" s="70"/>
      <c r="C536" s="70"/>
      <c r="D536" s="70"/>
      <c r="E536" s="70"/>
      <c r="AF536" s="29"/>
      <c r="AH536" s="29"/>
      <c r="AI536" s="29"/>
      <c r="AS536" s="29"/>
      <c r="AU536" s="29"/>
      <c r="AV536" s="29"/>
      <c r="AX536" s="29"/>
      <c r="BC536" s="29"/>
      <c r="BD536" s="29"/>
    </row>
    <row r="537">
      <c r="B537" s="70"/>
      <c r="C537" s="70"/>
      <c r="D537" s="70"/>
      <c r="E537" s="70"/>
      <c r="AF537" s="29"/>
      <c r="AH537" s="29"/>
      <c r="AI537" s="29"/>
      <c r="AS537" s="29"/>
      <c r="AU537" s="29"/>
      <c r="AV537" s="29"/>
      <c r="AX537" s="29"/>
      <c r="BC537" s="29"/>
      <c r="BD537" s="29"/>
    </row>
    <row r="538">
      <c r="B538" s="70"/>
      <c r="C538" s="70"/>
      <c r="D538" s="70"/>
      <c r="E538" s="70"/>
      <c r="AF538" s="29"/>
      <c r="AH538" s="29"/>
      <c r="AI538" s="29"/>
      <c r="AS538" s="29"/>
      <c r="AU538" s="29"/>
      <c r="AV538" s="29"/>
      <c r="AX538" s="29"/>
      <c r="BC538" s="29"/>
      <c r="BD538" s="29"/>
    </row>
    <row r="539">
      <c r="B539" s="70"/>
      <c r="C539" s="70"/>
      <c r="D539" s="70"/>
      <c r="E539" s="70"/>
      <c r="AF539" s="29"/>
      <c r="AH539" s="29"/>
      <c r="AI539" s="29"/>
      <c r="AS539" s="29"/>
      <c r="AU539" s="29"/>
      <c r="AV539" s="29"/>
      <c r="AX539" s="29"/>
      <c r="BC539" s="29"/>
      <c r="BD539" s="29"/>
    </row>
    <row r="540">
      <c r="B540" s="70"/>
      <c r="C540" s="70"/>
      <c r="D540" s="70"/>
      <c r="E540" s="70"/>
      <c r="AF540" s="29"/>
      <c r="AH540" s="29"/>
      <c r="AI540" s="29"/>
      <c r="AS540" s="29"/>
      <c r="AU540" s="29"/>
      <c r="AV540" s="29"/>
      <c r="AX540" s="29"/>
      <c r="BC540" s="29"/>
      <c r="BD540" s="29"/>
    </row>
    <row r="541">
      <c r="B541" s="70"/>
      <c r="C541" s="70"/>
      <c r="D541" s="70"/>
      <c r="E541" s="70"/>
      <c r="AF541" s="29"/>
      <c r="AH541" s="29"/>
      <c r="AI541" s="29"/>
      <c r="AS541" s="29"/>
      <c r="AU541" s="29"/>
      <c r="AV541" s="29"/>
      <c r="AX541" s="29"/>
      <c r="BC541" s="29"/>
      <c r="BD541" s="29"/>
    </row>
    <row r="542">
      <c r="B542" s="70"/>
      <c r="C542" s="70"/>
      <c r="D542" s="70"/>
      <c r="E542" s="70"/>
      <c r="AF542" s="29"/>
      <c r="AH542" s="29"/>
      <c r="AI542" s="29"/>
      <c r="AS542" s="29"/>
      <c r="AU542" s="29"/>
      <c r="AV542" s="29"/>
      <c r="AX542" s="29"/>
      <c r="BC542" s="29"/>
      <c r="BD542" s="29"/>
    </row>
    <row r="543">
      <c r="B543" s="70"/>
      <c r="C543" s="70"/>
      <c r="D543" s="70"/>
      <c r="E543" s="70"/>
      <c r="AF543" s="29"/>
      <c r="AH543" s="29"/>
      <c r="AI543" s="29"/>
      <c r="AS543" s="29"/>
      <c r="AU543" s="29"/>
      <c r="AV543" s="29"/>
      <c r="AX543" s="29"/>
      <c r="BC543" s="29"/>
      <c r="BD543" s="29"/>
    </row>
    <row r="544">
      <c r="B544" s="70"/>
      <c r="C544" s="70"/>
      <c r="D544" s="70"/>
      <c r="E544" s="70"/>
      <c r="AF544" s="29"/>
      <c r="AH544" s="29"/>
      <c r="AI544" s="29"/>
      <c r="AS544" s="29"/>
      <c r="AU544" s="29"/>
      <c r="AV544" s="29"/>
      <c r="AX544" s="29"/>
      <c r="BC544" s="29"/>
      <c r="BD544" s="29"/>
    </row>
    <row r="545">
      <c r="B545" s="70"/>
      <c r="C545" s="70"/>
      <c r="D545" s="70"/>
      <c r="E545" s="70"/>
      <c r="AF545" s="29"/>
      <c r="AH545" s="29"/>
      <c r="AI545" s="29"/>
      <c r="AS545" s="29"/>
      <c r="AU545" s="29"/>
      <c r="AV545" s="29"/>
      <c r="AX545" s="29"/>
      <c r="BC545" s="29"/>
      <c r="BD545" s="29"/>
    </row>
    <row r="546">
      <c r="B546" s="70"/>
      <c r="C546" s="70"/>
      <c r="D546" s="70"/>
      <c r="E546" s="70"/>
      <c r="AF546" s="29"/>
      <c r="AH546" s="29"/>
      <c r="AI546" s="29"/>
      <c r="AS546" s="29"/>
      <c r="AU546" s="29"/>
      <c r="AV546" s="29"/>
      <c r="AX546" s="29"/>
      <c r="BC546" s="29"/>
      <c r="BD546" s="29"/>
    </row>
    <row r="547">
      <c r="B547" s="70"/>
      <c r="C547" s="70"/>
      <c r="D547" s="70"/>
      <c r="E547" s="70"/>
      <c r="AF547" s="29"/>
      <c r="AH547" s="29"/>
      <c r="AI547" s="29"/>
      <c r="AS547" s="29"/>
      <c r="AU547" s="29"/>
      <c r="AV547" s="29"/>
      <c r="AX547" s="29"/>
      <c r="BC547" s="29"/>
      <c r="BD547" s="29"/>
    </row>
    <row r="548">
      <c r="B548" s="70"/>
      <c r="C548" s="70"/>
      <c r="D548" s="70"/>
      <c r="E548" s="70"/>
      <c r="AF548" s="29"/>
      <c r="AH548" s="29"/>
      <c r="AI548" s="29"/>
      <c r="AS548" s="29"/>
      <c r="AU548" s="29"/>
      <c r="AV548" s="29"/>
      <c r="AX548" s="29"/>
      <c r="BC548" s="29"/>
      <c r="BD548" s="29"/>
    </row>
    <row r="549">
      <c r="B549" s="70"/>
      <c r="C549" s="70"/>
      <c r="D549" s="70"/>
      <c r="E549" s="70"/>
      <c r="AF549" s="29"/>
      <c r="AH549" s="29"/>
      <c r="AI549" s="29"/>
      <c r="AS549" s="29"/>
      <c r="AU549" s="29"/>
      <c r="AV549" s="29"/>
      <c r="AX549" s="29"/>
      <c r="BC549" s="29"/>
      <c r="BD549" s="29"/>
    </row>
    <row r="550">
      <c r="B550" s="70"/>
      <c r="C550" s="70"/>
      <c r="D550" s="70"/>
      <c r="E550" s="70"/>
      <c r="AF550" s="29"/>
      <c r="AH550" s="29"/>
      <c r="AI550" s="29"/>
      <c r="AS550" s="29"/>
      <c r="AU550" s="29"/>
      <c r="AV550" s="29"/>
      <c r="AX550" s="29"/>
      <c r="BC550" s="29"/>
      <c r="BD550" s="29"/>
    </row>
    <row r="551">
      <c r="B551" s="70"/>
      <c r="C551" s="70"/>
      <c r="D551" s="70"/>
      <c r="E551" s="70"/>
      <c r="AF551" s="29"/>
      <c r="AH551" s="29"/>
      <c r="AI551" s="29"/>
      <c r="AS551" s="29"/>
      <c r="AU551" s="29"/>
      <c r="AV551" s="29"/>
      <c r="AX551" s="29"/>
      <c r="BC551" s="29"/>
      <c r="BD551" s="29"/>
    </row>
    <row r="552">
      <c r="B552" s="70"/>
      <c r="C552" s="70"/>
      <c r="D552" s="70"/>
      <c r="E552" s="70"/>
      <c r="AF552" s="29"/>
      <c r="AH552" s="29"/>
      <c r="AI552" s="29"/>
      <c r="AS552" s="29"/>
      <c r="AU552" s="29"/>
      <c r="AV552" s="29"/>
      <c r="AX552" s="29"/>
      <c r="BC552" s="29"/>
      <c r="BD552" s="29"/>
    </row>
    <row r="553">
      <c r="B553" s="70"/>
      <c r="C553" s="70"/>
      <c r="D553" s="70"/>
      <c r="E553" s="70"/>
      <c r="AF553" s="29"/>
      <c r="AH553" s="29"/>
      <c r="AI553" s="29"/>
      <c r="AS553" s="29"/>
      <c r="AU553" s="29"/>
      <c r="AV553" s="29"/>
      <c r="AX553" s="29"/>
      <c r="BC553" s="29"/>
      <c r="BD553" s="29"/>
    </row>
    <row r="554">
      <c r="B554" s="70"/>
      <c r="C554" s="70"/>
      <c r="D554" s="70"/>
      <c r="E554" s="70"/>
      <c r="AF554" s="29"/>
      <c r="AH554" s="29"/>
      <c r="AI554" s="29"/>
      <c r="AS554" s="29"/>
      <c r="AU554" s="29"/>
      <c r="AV554" s="29"/>
      <c r="AX554" s="29"/>
      <c r="BC554" s="29"/>
      <c r="BD554" s="29"/>
    </row>
    <row r="555">
      <c r="B555" s="70"/>
      <c r="C555" s="70"/>
      <c r="D555" s="70"/>
      <c r="E555" s="70"/>
      <c r="AF555" s="29"/>
      <c r="AH555" s="29"/>
      <c r="AI555" s="29"/>
      <c r="AS555" s="29"/>
      <c r="AU555" s="29"/>
      <c r="AV555" s="29"/>
      <c r="AX555" s="29"/>
      <c r="BC555" s="29"/>
      <c r="BD555" s="29"/>
    </row>
    <row r="556">
      <c r="B556" s="70"/>
      <c r="C556" s="70"/>
      <c r="D556" s="70"/>
      <c r="E556" s="70"/>
      <c r="AF556" s="29"/>
      <c r="AH556" s="29"/>
      <c r="AI556" s="29"/>
      <c r="AS556" s="29"/>
      <c r="AU556" s="29"/>
      <c r="AV556" s="29"/>
      <c r="AX556" s="29"/>
      <c r="BC556" s="29"/>
      <c r="BD556" s="29"/>
    </row>
    <row r="557">
      <c r="B557" s="70"/>
      <c r="C557" s="70"/>
      <c r="D557" s="70"/>
      <c r="E557" s="70"/>
      <c r="AF557" s="29"/>
      <c r="AH557" s="29"/>
      <c r="AI557" s="29"/>
      <c r="AS557" s="29"/>
      <c r="AU557" s="29"/>
      <c r="AV557" s="29"/>
      <c r="AX557" s="29"/>
      <c r="BC557" s="29"/>
      <c r="BD557" s="29"/>
    </row>
    <row r="558">
      <c r="B558" s="70"/>
      <c r="C558" s="70"/>
      <c r="D558" s="70"/>
      <c r="E558" s="70"/>
      <c r="AF558" s="29"/>
      <c r="AH558" s="29"/>
      <c r="AI558" s="29"/>
      <c r="AS558" s="29"/>
      <c r="AU558" s="29"/>
      <c r="AV558" s="29"/>
      <c r="AX558" s="29"/>
      <c r="BC558" s="29"/>
      <c r="BD558" s="29"/>
    </row>
    <row r="559">
      <c r="B559" s="70"/>
      <c r="C559" s="70"/>
      <c r="D559" s="70"/>
      <c r="E559" s="70"/>
      <c r="AF559" s="29"/>
      <c r="AH559" s="29"/>
      <c r="AI559" s="29"/>
      <c r="AS559" s="29"/>
      <c r="AU559" s="29"/>
      <c r="AV559" s="29"/>
      <c r="AX559" s="29"/>
      <c r="BC559" s="29"/>
      <c r="BD559" s="29"/>
    </row>
    <row r="560">
      <c r="B560" s="70"/>
      <c r="C560" s="70"/>
      <c r="D560" s="70"/>
      <c r="E560" s="70"/>
      <c r="AF560" s="29"/>
      <c r="AH560" s="29"/>
      <c r="AI560" s="29"/>
      <c r="AS560" s="29"/>
      <c r="AU560" s="29"/>
      <c r="AV560" s="29"/>
      <c r="AX560" s="29"/>
      <c r="BC560" s="29"/>
      <c r="BD560" s="29"/>
    </row>
    <row r="561">
      <c r="B561" s="70"/>
      <c r="C561" s="70"/>
      <c r="D561" s="70"/>
      <c r="E561" s="70"/>
      <c r="AF561" s="29"/>
      <c r="AH561" s="29"/>
      <c r="AI561" s="29"/>
      <c r="AS561" s="29"/>
      <c r="AU561" s="29"/>
      <c r="AV561" s="29"/>
      <c r="AX561" s="29"/>
      <c r="BC561" s="29"/>
      <c r="BD561" s="29"/>
    </row>
    <row r="562">
      <c r="B562" s="70"/>
      <c r="C562" s="70"/>
      <c r="D562" s="70"/>
      <c r="E562" s="70"/>
      <c r="AF562" s="29"/>
      <c r="AH562" s="29"/>
      <c r="AI562" s="29"/>
      <c r="AS562" s="29"/>
      <c r="AU562" s="29"/>
      <c r="AV562" s="29"/>
      <c r="AX562" s="29"/>
      <c r="BC562" s="29"/>
      <c r="BD562" s="29"/>
    </row>
    <row r="563">
      <c r="B563" s="70"/>
      <c r="C563" s="70"/>
      <c r="D563" s="70"/>
      <c r="E563" s="70"/>
      <c r="AF563" s="29"/>
      <c r="AH563" s="29"/>
      <c r="AI563" s="29"/>
      <c r="AS563" s="29"/>
      <c r="AU563" s="29"/>
      <c r="AV563" s="29"/>
      <c r="AX563" s="29"/>
      <c r="BC563" s="29"/>
      <c r="BD563" s="29"/>
    </row>
    <row r="564">
      <c r="B564" s="70"/>
      <c r="C564" s="70"/>
      <c r="D564" s="70"/>
      <c r="E564" s="70"/>
      <c r="AF564" s="29"/>
      <c r="AH564" s="29"/>
      <c r="AI564" s="29"/>
      <c r="AS564" s="29"/>
      <c r="AU564" s="29"/>
      <c r="AV564" s="29"/>
      <c r="AX564" s="29"/>
      <c r="BC564" s="29"/>
      <c r="BD564" s="29"/>
    </row>
    <row r="565">
      <c r="B565" s="70"/>
      <c r="C565" s="70"/>
      <c r="D565" s="70"/>
      <c r="E565" s="70"/>
      <c r="AF565" s="29"/>
      <c r="AH565" s="29"/>
      <c r="AI565" s="29"/>
      <c r="AS565" s="29"/>
      <c r="AU565" s="29"/>
      <c r="AV565" s="29"/>
      <c r="AX565" s="29"/>
      <c r="BC565" s="29"/>
      <c r="BD565" s="29"/>
    </row>
    <row r="566">
      <c r="B566" s="70"/>
      <c r="C566" s="70"/>
      <c r="D566" s="70"/>
      <c r="E566" s="70"/>
      <c r="AF566" s="29"/>
      <c r="AH566" s="29"/>
      <c r="AI566" s="29"/>
      <c r="AS566" s="29"/>
      <c r="AU566" s="29"/>
      <c r="AV566" s="29"/>
      <c r="AX566" s="29"/>
      <c r="BC566" s="29"/>
      <c r="BD566" s="29"/>
    </row>
    <row r="567">
      <c r="B567" s="70"/>
      <c r="C567" s="70"/>
      <c r="D567" s="70"/>
      <c r="E567" s="70"/>
      <c r="AF567" s="29"/>
      <c r="AH567" s="29"/>
      <c r="AI567" s="29"/>
      <c r="AS567" s="29"/>
      <c r="AU567" s="29"/>
      <c r="AV567" s="29"/>
      <c r="AX567" s="29"/>
      <c r="BC567" s="29"/>
      <c r="BD567" s="29"/>
    </row>
    <row r="568">
      <c r="B568" s="70"/>
      <c r="C568" s="70"/>
      <c r="D568" s="70"/>
      <c r="E568" s="70"/>
      <c r="AF568" s="29"/>
      <c r="AH568" s="29"/>
      <c r="AI568" s="29"/>
      <c r="AS568" s="29"/>
      <c r="AU568" s="29"/>
      <c r="AV568" s="29"/>
      <c r="AX568" s="29"/>
      <c r="BC568" s="29"/>
      <c r="BD568" s="29"/>
    </row>
    <row r="569">
      <c r="B569" s="70"/>
      <c r="C569" s="70"/>
      <c r="D569" s="70"/>
      <c r="E569" s="70"/>
      <c r="AF569" s="29"/>
      <c r="AH569" s="29"/>
      <c r="AI569" s="29"/>
      <c r="AS569" s="29"/>
      <c r="AU569" s="29"/>
      <c r="AV569" s="29"/>
      <c r="AX569" s="29"/>
      <c r="BC569" s="29"/>
      <c r="BD569" s="29"/>
    </row>
    <row r="570">
      <c r="B570" s="70"/>
      <c r="C570" s="70"/>
      <c r="D570" s="70"/>
      <c r="E570" s="70"/>
      <c r="AF570" s="29"/>
      <c r="AH570" s="29"/>
      <c r="AI570" s="29"/>
      <c r="AS570" s="29"/>
      <c r="AU570" s="29"/>
      <c r="AV570" s="29"/>
      <c r="AX570" s="29"/>
      <c r="BC570" s="29"/>
      <c r="BD570" s="29"/>
    </row>
    <row r="571">
      <c r="B571" s="70"/>
      <c r="C571" s="70"/>
      <c r="D571" s="70"/>
      <c r="E571" s="70"/>
      <c r="AF571" s="29"/>
      <c r="AH571" s="29"/>
      <c r="AI571" s="29"/>
      <c r="AS571" s="29"/>
      <c r="AU571" s="29"/>
      <c r="AV571" s="29"/>
      <c r="AX571" s="29"/>
      <c r="BC571" s="29"/>
      <c r="BD571" s="29"/>
    </row>
    <row r="572">
      <c r="B572" s="70"/>
      <c r="C572" s="70"/>
      <c r="D572" s="70"/>
      <c r="E572" s="70"/>
      <c r="AF572" s="29"/>
      <c r="AH572" s="29"/>
      <c r="AI572" s="29"/>
      <c r="AS572" s="29"/>
      <c r="AU572" s="29"/>
      <c r="AV572" s="29"/>
      <c r="AX572" s="29"/>
      <c r="BC572" s="29"/>
      <c r="BD572" s="29"/>
    </row>
    <row r="573">
      <c r="B573" s="70"/>
      <c r="C573" s="70"/>
      <c r="D573" s="70"/>
      <c r="E573" s="70"/>
      <c r="AF573" s="29"/>
      <c r="AH573" s="29"/>
      <c r="AI573" s="29"/>
      <c r="AS573" s="29"/>
      <c r="AU573" s="29"/>
      <c r="AV573" s="29"/>
      <c r="AX573" s="29"/>
      <c r="BC573" s="29"/>
      <c r="BD573" s="29"/>
    </row>
    <row r="574">
      <c r="B574" s="70"/>
      <c r="C574" s="70"/>
      <c r="D574" s="70"/>
      <c r="E574" s="70"/>
      <c r="AF574" s="29"/>
      <c r="AH574" s="29"/>
      <c r="AI574" s="29"/>
      <c r="AS574" s="29"/>
      <c r="AU574" s="29"/>
      <c r="AV574" s="29"/>
      <c r="AX574" s="29"/>
      <c r="BC574" s="29"/>
      <c r="BD574" s="29"/>
    </row>
    <row r="575">
      <c r="B575" s="70"/>
      <c r="C575" s="70"/>
      <c r="D575" s="70"/>
      <c r="E575" s="70"/>
      <c r="AF575" s="29"/>
      <c r="AH575" s="29"/>
      <c r="AI575" s="29"/>
      <c r="AS575" s="29"/>
      <c r="AU575" s="29"/>
      <c r="AV575" s="29"/>
      <c r="AX575" s="29"/>
      <c r="BC575" s="29"/>
      <c r="BD575" s="29"/>
    </row>
    <row r="576">
      <c r="B576" s="70"/>
      <c r="C576" s="70"/>
      <c r="D576" s="70"/>
      <c r="E576" s="70"/>
      <c r="AF576" s="29"/>
      <c r="AH576" s="29"/>
      <c r="AI576" s="29"/>
      <c r="AS576" s="29"/>
      <c r="AU576" s="29"/>
      <c r="AV576" s="29"/>
      <c r="AX576" s="29"/>
      <c r="BC576" s="29"/>
      <c r="BD576" s="29"/>
    </row>
    <row r="577">
      <c r="B577" s="70"/>
      <c r="C577" s="70"/>
      <c r="D577" s="70"/>
      <c r="E577" s="70"/>
      <c r="AF577" s="29"/>
      <c r="AH577" s="29"/>
      <c r="AI577" s="29"/>
      <c r="AS577" s="29"/>
      <c r="AU577" s="29"/>
      <c r="AV577" s="29"/>
      <c r="AX577" s="29"/>
      <c r="BC577" s="29"/>
      <c r="BD577" s="29"/>
    </row>
    <row r="578">
      <c r="B578" s="70"/>
      <c r="C578" s="70"/>
      <c r="D578" s="70"/>
      <c r="E578" s="70"/>
      <c r="AF578" s="29"/>
      <c r="AH578" s="29"/>
      <c r="AI578" s="29"/>
      <c r="AS578" s="29"/>
      <c r="AU578" s="29"/>
      <c r="AV578" s="29"/>
      <c r="AX578" s="29"/>
      <c r="BC578" s="29"/>
      <c r="BD578" s="29"/>
    </row>
    <row r="579">
      <c r="B579" s="70"/>
      <c r="C579" s="70"/>
      <c r="D579" s="70"/>
      <c r="E579" s="70"/>
      <c r="AF579" s="29"/>
      <c r="AH579" s="29"/>
      <c r="AI579" s="29"/>
      <c r="AS579" s="29"/>
      <c r="AU579" s="29"/>
      <c r="AV579" s="29"/>
      <c r="AX579" s="29"/>
      <c r="BC579" s="29"/>
      <c r="BD579" s="29"/>
    </row>
    <row r="580">
      <c r="B580" s="70"/>
      <c r="C580" s="70"/>
      <c r="D580" s="70"/>
      <c r="E580" s="70"/>
      <c r="AF580" s="29"/>
      <c r="AH580" s="29"/>
      <c r="AI580" s="29"/>
      <c r="AS580" s="29"/>
      <c r="AU580" s="29"/>
      <c r="AV580" s="29"/>
      <c r="AX580" s="29"/>
      <c r="BC580" s="29"/>
      <c r="BD580" s="29"/>
    </row>
    <row r="581">
      <c r="B581" s="70"/>
      <c r="C581" s="70"/>
      <c r="D581" s="70"/>
      <c r="E581" s="70"/>
      <c r="AF581" s="29"/>
      <c r="AH581" s="29"/>
      <c r="AI581" s="29"/>
      <c r="AS581" s="29"/>
      <c r="AU581" s="29"/>
      <c r="AV581" s="29"/>
      <c r="AX581" s="29"/>
      <c r="BC581" s="29"/>
      <c r="BD581" s="29"/>
    </row>
    <row r="582">
      <c r="B582" s="70"/>
      <c r="C582" s="70"/>
      <c r="D582" s="70"/>
      <c r="E582" s="70"/>
      <c r="AF582" s="29"/>
      <c r="AH582" s="29"/>
      <c r="AI582" s="29"/>
      <c r="AS582" s="29"/>
      <c r="AU582" s="29"/>
      <c r="AV582" s="29"/>
      <c r="AX582" s="29"/>
      <c r="BC582" s="29"/>
      <c r="BD582" s="29"/>
    </row>
    <row r="583">
      <c r="B583" s="70"/>
      <c r="C583" s="70"/>
      <c r="D583" s="70"/>
      <c r="E583" s="70"/>
      <c r="AF583" s="29"/>
      <c r="AH583" s="29"/>
      <c r="AI583" s="29"/>
      <c r="AS583" s="29"/>
      <c r="AU583" s="29"/>
      <c r="AV583" s="29"/>
      <c r="AX583" s="29"/>
      <c r="BC583" s="29"/>
      <c r="BD583" s="29"/>
    </row>
    <row r="584">
      <c r="B584" s="70"/>
      <c r="C584" s="70"/>
      <c r="D584" s="70"/>
      <c r="E584" s="70"/>
      <c r="AF584" s="29"/>
      <c r="AH584" s="29"/>
      <c r="AI584" s="29"/>
      <c r="AS584" s="29"/>
      <c r="AU584" s="29"/>
      <c r="AV584" s="29"/>
      <c r="AX584" s="29"/>
      <c r="BC584" s="29"/>
      <c r="BD584" s="29"/>
    </row>
    <row r="585">
      <c r="B585" s="70"/>
      <c r="C585" s="70"/>
      <c r="D585" s="70"/>
      <c r="E585" s="70"/>
      <c r="AF585" s="29"/>
      <c r="AH585" s="29"/>
      <c r="AI585" s="29"/>
      <c r="AS585" s="29"/>
      <c r="AU585" s="29"/>
      <c r="AV585" s="29"/>
      <c r="AX585" s="29"/>
      <c r="BC585" s="29"/>
      <c r="BD585" s="29"/>
    </row>
    <row r="586">
      <c r="B586" s="70"/>
      <c r="C586" s="70"/>
      <c r="D586" s="70"/>
      <c r="E586" s="70"/>
      <c r="AF586" s="29"/>
      <c r="AH586" s="29"/>
      <c r="AI586" s="29"/>
      <c r="AS586" s="29"/>
      <c r="AU586" s="29"/>
      <c r="AV586" s="29"/>
      <c r="AX586" s="29"/>
      <c r="BC586" s="29"/>
      <c r="BD586" s="29"/>
    </row>
    <row r="587">
      <c r="B587" s="70"/>
      <c r="C587" s="70"/>
      <c r="D587" s="70"/>
      <c r="E587" s="70"/>
      <c r="AF587" s="29"/>
      <c r="AH587" s="29"/>
      <c r="AI587" s="29"/>
      <c r="AS587" s="29"/>
      <c r="AU587" s="29"/>
      <c r="AV587" s="29"/>
      <c r="AX587" s="29"/>
      <c r="BC587" s="29"/>
      <c r="BD587" s="29"/>
    </row>
    <row r="588">
      <c r="B588" s="70"/>
      <c r="C588" s="70"/>
      <c r="D588" s="70"/>
      <c r="E588" s="70"/>
      <c r="AF588" s="29"/>
      <c r="AH588" s="29"/>
      <c r="AI588" s="29"/>
      <c r="AS588" s="29"/>
      <c r="AU588" s="29"/>
      <c r="AV588" s="29"/>
      <c r="AX588" s="29"/>
      <c r="BC588" s="29"/>
      <c r="BD588" s="29"/>
    </row>
    <row r="589">
      <c r="B589" s="70"/>
      <c r="C589" s="70"/>
      <c r="D589" s="70"/>
      <c r="E589" s="70"/>
      <c r="AF589" s="29"/>
      <c r="AH589" s="29"/>
      <c r="AI589" s="29"/>
      <c r="AS589" s="29"/>
      <c r="AU589" s="29"/>
      <c r="AV589" s="29"/>
      <c r="AX589" s="29"/>
      <c r="BC589" s="29"/>
      <c r="BD589" s="29"/>
    </row>
    <row r="590">
      <c r="B590" s="70"/>
      <c r="C590" s="70"/>
      <c r="D590" s="70"/>
      <c r="E590" s="70"/>
      <c r="AF590" s="29"/>
      <c r="AH590" s="29"/>
      <c r="AI590" s="29"/>
      <c r="AS590" s="29"/>
      <c r="AU590" s="29"/>
      <c r="AV590" s="29"/>
      <c r="AX590" s="29"/>
      <c r="BC590" s="29"/>
      <c r="BD590" s="29"/>
    </row>
    <row r="591">
      <c r="B591" s="70"/>
      <c r="C591" s="70"/>
      <c r="D591" s="70"/>
      <c r="E591" s="70"/>
      <c r="AF591" s="29"/>
      <c r="AH591" s="29"/>
      <c r="AI591" s="29"/>
      <c r="AS591" s="29"/>
      <c r="AU591" s="29"/>
      <c r="AV591" s="29"/>
      <c r="AX591" s="29"/>
      <c r="BC591" s="29"/>
      <c r="BD591" s="29"/>
    </row>
    <row r="592">
      <c r="B592" s="70"/>
      <c r="C592" s="70"/>
      <c r="D592" s="70"/>
      <c r="E592" s="70"/>
      <c r="AF592" s="29"/>
      <c r="AH592" s="29"/>
      <c r="AI592" s="29"/>
      <c r="AS592" s="29"/>
      <c r="AU592" s="29"/>
      <c r="AV592" s="29"/>
      <c r="AX592" s="29"/>
      <c r="BC592" s="29"/>
      <c r="BD592" s="29"/>
    </row>
    <row r="593">
      <c r="B593" s="70"/>
      <c r="C593" s="70"/>
      <c r="D593" s="70"/>
      <c r="E593" s="70"/>
      <c r="AF593" s="29"/>
      <c r="AH593" s="29"/>
      <c r="AI593" s="29"/>
      <c r="AS593" s="29"/>
      <c r="AU593" s="29"/>
      <c r="AV593" s="29"/>
      <c r="AX593" s="29"/>
      <c r="BC593" s="29"/>
      <c r="BD593" s="29"/>
    </row>
    <row r="594">
      <c r="B594" s="70"/>
      <c r="C594" s="70"/>
      <c r="D594" s="70"/>
      <c r="E594" s="70"/>
      <c r="AF594" s="29"/>
      <c r="AH594" s="29"/>
      <c r="AI594" s="29"/>
      <c r="AS594" s="29"/>
      <c r="AU594" s="29"/>
      <c r="AV594" s="29"/>
      <c r="AX594" s="29"/>
      <c r="BC594" s="29"/>
      <c r="BD594" s="29"/>
    </row>
    <row r="595">
      <c r="B595" s="70"/>
      <c r="C595" s="70"/>
      <c r="D595" s="70"/>
      <c r="E595" s="70"/>
      <c r="AF595" s="29"/>
      <c r="AH595" s="29"/>
      <c r="AI595" s="29"/>
      <c r="AS595" s="29"/>
      <c r="AU595" s="29"/>
      <c r="AV595" s="29"/>
      <c r="AX595" s="29"/>
      <c r="BC595" s="29"/>
      <c r="BD595" s="29"/>
    </row>
    <row r="596">
      <c r="B596" s="70"/>
      <c r="C596" s="70"/>
      <c r="D596" s="70"/>
      <c r="E596" s="70"/>
      <c r="AF596" s="29"/>
      <c r="AH596" s="29"/>
      <c r="AI596" s="29"/>
      <c r="AS596" s="29"/>
      <c r="AU596" s="29"/>
      <c r="AV596" s="29"/>
      <c r="AX596" s="29"/>
      <c r="BC596" s="29"/>
      <c r="BD596" s="29"/>
    </row>
    <row r="597">
      <c r="B597" s="70"/>
      <c r="C597" s="70"/>
      <c r="D597" s="70"/>
      <c r="E597" s="70"/>
      <c r="AF597" s="29"/>
      <c r="AH597" s="29"/>
      <c r="AI597" s="29"/>
      <c r="AS597" s="29"/>
      <c r="AU597" s="29"/>
      <c r="AV597" s="29"/>
      <c r="AX597" s="29"/>
      <c r="BC597" s="29"/>
      <c r="BD597" s="29"/>
    </row>
    <row r="598">
      <c r="B598" s="70"/>
      <c r="C598" s="70"/>
      <c r="D598" s="70"/>
      <c r="E598" s="70"/>
      <c r="AF598" s="29"/>
      <c r="AH598" s="29"/>
      <c r="AI598" s="29"/>
      <c r="AS598" s="29"/>
      <c r="AU598" s="29"/>
      <c r="AV598" s="29"/>
      <c r="AX598" s="29"/>
      <c r="BC598" s="29"/>
      <c r="BD598" s="29"/>
    </row>
    <row r="599">
      <c r="B599" s="70"/>
      <c r="C599" s="70"/>
      <c r="D599" s="70"/>
      <c r="E599" s="70"/>
      <c r="AF599" s="29"/>
      <c r="AH599" s="29"/>
      <c r="AI599" s="29"/>
      <c r="AS599" s="29"/>
      <c r="AU599" s="29"/>
      <c r="AV599" s="29"/>
      <c r="AX599" s="29"/>
      <c r="BC599" s="29"/>
      <c r="BD599" s="29"/>
    </row>
    <row r="600">
      <c r="B600" s="70"/>
      <c r="C600" s="70"/>
      <c r="D600" s="70"/>
      <c r="E600" s="70"/>
      <c r="AF600" s="29"/>
      <c r="AH600" s="29"/>
      <c r="AI600" s="29"/>
      <c r="AS600" s="29"/>
      <c r="AU600" s="29"/>
      <c r="AV600" s="29"/>
      <c r="AX600" s="29"/>
      <c r="BC600" s="29"/>
      <c r="BD600" s="29"/>
    </row>
    <row r="601">
      <c r="B601" s="70"/>
      <c r="C601" s="70"/>
      <c r="D601" s="70"/>
      <c r="E601" s="70"/>
      <c r="AF601" s="29"/>
      <c r="AH601" s="29"/>
      <c r="AI601" s="29"/>
      <c r="AS601" s="29"/>
      <c r="AU601" s="29"/>
      <c r="AV601" s="29"/>
      <c r="AX601" s="29"/>
      <c r="BC601" s="29"/>
      <c r="BD601" s="29"/>
    </row>
    <row r="602">
      <c r="B602" s="70"/>
      <c r="C602" s="70"/>
      <c r="D602" s="70"/>
      <c r="E602" s="70"/>
      <c r="AF602" s="29"/>
      <c r="AH602" s="29"/>
      <c r="AI602" s="29"/>
      <c r="AS602" s="29"/>
      <c r="AU602" s="29"/>
      <c r="AV602" s="29"/>
      <c r="AX602" s="29"/>
      <c r="BC602" s="29"/>
      <c r="BD602" s="29"/>
    </row>
    <row r="603">
      <c r="B603" s="70"/>
      <c r="C603" s="70"/>
      <c r="D603" s="70"/>
      <c r="E603" s="70"/>
      <c r="AF603" s="29"/>
      <c r="AH603" s="29"/>
      <c r="AI603" s="29"/>
      <c r="AS603" s="29"/>
      <c r="AU603" s="29"/>
      <c r="AV603" s="29"/>
      <c r="AX603" s="29"/>
      <c r="BC603" s="29"/>
      <c r="BD603" s="29"/>
    </row>
    <row r="604">
      <c r="B604" s="70"/>
      <c r="C604" s="70"/>
      <c r="D604" s="70"/>
      <c r="E604" s="70"/>
      <c r="AF604" s="29"/>
      <c r="AH604" s="29"/>
      <c r="AI604" s="29"/>
      <c r="AS604" s="29"/>
      <c r="AU604" s="29"/>
      <c r="AV604" s="29"/>
      <c r="AX604" s="29"/>
      <c r="BC604" s="29"/>
      <c r="BD604" s="29"/>
    </row>
    <row r="605">
      <c r="B605" s="70"/>
      <c r="C605" s="70"/>
      <c r="D605" s="70"/>
      <c r="E605" s="70"/>
      <c r="AF605" s="29"/>
      <c r="AH605" s="29"/>
      <c r="AI605" s="29"/>
      <c r="AS605" s="29"/>
      <c r="AU605" s="29"/>
      <c r="AV605" s="29"/>
      <c r="AX605" s="29"/>
      <c r="BC605" s="29"/>
      <c r="BD605" s="29"/>
    </row>
    <row r="606">
      <c r="B606" s="70"/>
      <c r="C606" s="70"/>
      <c r="D606" s="70"/>
      <c r="E606" s="70"/>
      <c r="AF606" s="29"/>
      <c r="AH606" s="29"/>
      <c r="AI606" s="29"/>
      <c r="AS606" s="29"/>
      <c r="AU606" s="29"/>
      <c r="AV606" s="29"/>
      <c r="AX606" s="29"/>
      <c r="BC606" s="29"/>
      <c r="BD606" s="29"/>
    </row>
    <row r="607">
      <c r="B607" s="70"/>
      <c r="C607" s="70"/>
      <c r="D607" s="70"/>
      <c r="E607" s="70"/>
      <c r="AF607" s="29"/>
      <c r="AH607" s="29"/>
      <c r="AI607" s="29"/>
      <c r="AS607" s="29"/>
      <c r="AU607" s="29"/>
      <c r="AV607" s="29"/>
      <c r="AX607" s="29"/>
      <c r="BC607" s="29"/>
      <c r="BD607" s="29"/>
    </row>
    <row r="608">
      <c r="B608" s="70"/>
      <c r="C608" s="70"/>
      <c r="D608" s="70"/>
      <c r="E608" s="70"/>
      <c r="AF608" s="29"/>
      <c r="AH608" s="29"/>
      <c r="AI608" s="29"/>
      <c r="AS608" s="29"/>
      <c r="AU608" s="29"/>
      <c r="AV608" s="29"/>
      <c r="AX608" s="29"/>
      <c r="BC608" s="29"/>
      <c r="BD608" s="29"/>
    </row>
    <row r="609">
      <c r="B609" s="70"/>
      <c r="C609" s="70"/>
      <c r="D609" s="70"/>
      <c r="E609" s="70"/>
      <c r="AF609" s="29"/>
      <c r="AH609" s="29"/>
      <c r="AI609" s="29"/>
      <c r="AS609" s="29"/>
      <c r="AU609" s="29"/>
      <c r="AV609" s="29"/>
      <c r="AX609" s="29"/>
      <c r="BC609" s="29"/>
      <c r="BD609" s="29"/>
    </row>
    <row r="610">
      <c r="B610" s="70"/>
      <c r="C610" s="70"/>
      <c r="D610" s="70"/>
      <c r="E610" s="70"/>
      <c r="AF610" s="29"/>
      <c r="AH610" s="29"/>
      <c r="AI610" s="29"/>
      <c r="AS610" s="29"/>
      <c r="AU610" s="29"/>
      <c r="AV610" s="29"/>
      <c r="AX610" s="29"/>
      <c r="BC610" s="29"/>
      <c r="BD610" s="29"/>
    </row>
    <row r="611">
      <c r="B611" s="70"/>
      <c r="C611" s="70"/>
      <c r="D611" s="70"/>
      <c r="E611" s="70"/>
      <c r="AF611" s="29"/>
      <c r="AH611" s="29"/>
      <c r="AI611" s="29"/>
      <c r="AS611" s="29"/>
      <c r="AU611" s="29"/>
      <c r="AV611" s="29"/>
      <c r="AX611" s="29"/>
      <c r="BC611" s="29"/>
      <c r="BD611" s="29"/>
    </row>
    <row r="612">
      <c r="B612" s="70"/>
      <c r="C612" s="70"/>
      <c r="D612" s="70"/>
      <c r="E612" s="70"/>
      <c r="AF612" s="29"/>
      <c r="AH612" s="29"/>
      <c r="AI612" s="29"/>
      <c r="AS612" s="29"/>
      <c r="AU612" s="29"/>
      <c r="AV612" s="29"/>
      <c r="AX612" s="29"/>
      <c r="BC612" s="29"/>
      <c r="BD612" s="29"/>
    </row>
    <row r="613">
      <c r="B613" s="70"/>
      <c r="C613" s="70"/>
      <c r="D613" s="70"/>
      <c r="E613" s="70"/>
      <c r="AF613" s="29"/>
      <c r="AH613" s="29"/>
      <c r="AI613" s="29"/>
      <c r="AS613" s="29"/>
      <c r="AU613" s="29"/>
      <c r="AV613" s="29"/>
      <c r="AX613" s="29"/>
      <c r="BC613" s="29"/>
      <c r="BD613" s="29"/>
    </row>
    <row r="614">
      <c r="B614" s="70"/>
      <c r="C614" s="70"/>
      <c r="D614" s="70"/>
      <c r="E614" s="70"/>
      <c r="AF614" s="29"/>
      <c r="AH614" s="29"/>
      <c r="AI614" s="29"/>
      <c r="AS614" s="29"/>
      <c r="AU614" s="29"/>
      <c r="AV614" s="29"/>
      <c r="AX614" s="29"/>
      <c r="BC614" s="29"/>
      <c r="BD614" s="29"/>
    </row>
    <row r="615">
      <c r="B615" s="70"/>
      <c r="C615" s="70"/>
      <c r="D615" s="70"/>
      <c r="E615" s="70"/>
      <c r="AF615" s="29"/>
      <c r="AH615" s="29"/>
      <c r="AI615" s="29"/>
      <c r="AS615" s="29"/>
      <c r="AU615" s="29"/>
      <c r="AV615" s="29"/>
      <c r="AX615" s="29"/>
      <c r="BC615" s="29"/>
      <c r="BD615" s="29"/>
    </row>
    <row r="616">
      <c r="B616" s="70"/>
      <c r="C616" s="70"/>
      <c r="D616" s="70"/>
      <c r="E616" s="70"/>
      <c r="AF616" s="29"/>
      <c r="AH616" s="29"/>
      <c r="AI616" s="29"/>
      <c r="AS616" s="29"/>
      <c r="AU616" s="29"/>
      <c r="AV616" s="29"/>
      <c r="AX616" s="29"/>
      <c r="BC616" s="29"/>
      <c r="BD616" s="29"/>
    </row>
    <row r="617">
      <c r="B617" s="70"/>
      <c r="C617" s="70"/>
      <c r="D617" s="70"/>
      <c r="E617" s="70"/>
      <c r="AF617" s="29"/>
      <c r="AH617" s="29"/>
      <c r="AI617" s="29"/>
      <c r="AS617" s="29"/>
      <c r="AU617" s="29"/>
      <c r="AV617" s="29"/>
      <c r="AX617" s="29"/>
      <c r="BC617" s="29"/>
      <c r="BD617" s="29"/>
    </row>
    <row r="618">
      <c r="B618" s="70"/>
      <c r="C618" s="70"/>
      <c r="D618" s="70"/>
      <c r="E618" s="70"/>
      <c r="AF618" s="29"/>
      <c r="AH618" s="29"/>
      <c r="AI618" s="29"/>
      <c r="AS618" s="29"/>
      <c r="AU618" s="29"/>
      <c r="AV618" s="29"/>
      <c r="AX618" s="29"/>
      <c r="BC618" s="29"/>
      <c r="BD618" s="29"/>
    </row>
    <row r="619">
      <c r="B619" s="70"/>
      <c r="C619" s="70"/>
      <c r="D619" s="70"/>
      <c r="E619" s="70"/>
      <c r="AF619" s="29"/>
      <c r="AH619" s="29"/>
      <c r="AI619" s="29"/>
      <c r="AS619" s="29"/>
      <c r="AU619" s="29"/>
      <c r="AV619" s="29"/>
      <c r="AX619" s="29"/>
      <c r="BC619" s="29"/>
      <c r="BD619" s="29"/>
    </row>
    <row r="620">
      <c r="B620" s="70"/>
      <c r="C620" s="70"/>
      <c r="D620" s="70"/>
      <c r="E620" s="70"/>
      <c r="AF620" s="29"/>
      <c r="AH620" s="29"/>
      <c r="AI620" s="29"/>
      <c r="AS620" s="29"/>
      <c r="AU620" s="29"/>
      <c r="AV620" s="29"/>
      <c r="AX620" s="29"/>
      <c r="BC620" s="29"/>
      <c r="BD620" s="29"/>
    </row>
    <row r="621">
      <c r="B621" s="70"/>
      <c r="C621" s="70"/>
      <c r="D621" s="70"/>
      <c r="E621" s="70"/>
      <c r="AF621" s="29"/>
      <c r="AH621" s="29"/>
      <c r="AI621" s="29"/>
      <c r="AS621" s="29"/>
      <c r="AU621" s="29"/>
      <c r="AV621" s="29"/>
      <c r="AX621" s="29"/>
      <c r="BC621" s="29"/>
      <c r="BD621" s="29"/>
    </row>
    <row r="622">
      <c r="B622" s="70"/>
      <c r="C622" s="70"/>
      <c r="D622" s="70"/>
      <c r="E622" s="70"/>
      <c r="AF622" s="29"/>
      <c r="AH622" s="29"/>
      <c r="AI622" s="29"/>
      <c r="AS622" s="29"/>
      <c r="AU622" s="29"/>
      <c r="AV622" s="29"/>
      <c r="AX622" s="29"/>
      <c r="BC622" s="29"/>
      <c r="BD622" s="29"/>
    </row>
    <row r="623">
      <c r="B623" s="70"/>
      <c r="C623" s="70"/>
      <c r="D623" s="70"/>
      <c r="E623" s="70"/>
      <c r="AF623" s="29"/>
      <c r="AH623" s="29"/>
      <c r="AI623" s="29"/>
      <c r="AS623" s="29"/>
      <c r="AU623" s="29"/>
      <c r="AV623" s="29"/>
      <c r="AX623" s="29"/>
      <c r="BC623" s="29"/>
      <c r="BD623" s="29"/>
    </row>
    <row r="624">
      <c r="B624" s="70"/>
      <c r="C624" s="70"/>
      <c r="D624" s="70"/>
      <c r="E624" s="70"/>
      <c r="AF624" s="29"/>
      <c r="AH624" s="29"/>
      <c r="AI624" s="29"/>
      <c r="AS624" s="29"/>
      <c r="AU624" s="29"/>
      <c r="AV624" s="29"/>
      <c r="AX624" s="29"/>
      <c r="BC624" s="29"/>
      <c r="BD624" s="29"/>
    </row>
    <row r="625">
      <c r="B625" s="70"/>
      <c r="C625" s="70"/>
      <c r="D625" s="70"/>
      <c r="E625" s="70"/>
      <c r="AF625" s="29"/>
      <c r="AH625" s="29"/>
      <c r="AI625" s="29"/>
      <c r="AS625" s="29"/>
      <c r="AU625" s="29"/>
      <c r="AV625" s="29"/>
      <c r="AX625" s="29"/>
      <c r="BC625" s="29"/>
      <c r="BD625" s="29"/>
    </row>
    <row r="626">
      <c r="B626" s="70"/>
      <c r="C626" s="70"/>
      <c r="D626" s="70"/>
      <c r="E626" s="70"/>
      <c r="AF626" s="29"/>
      <c r="AH626" s="29"/>
      <c r="AI626" s="29"/>
      <c r="AS626" s="29"/>
      <c r="AU626" s="29"/>
      <c r="AV626" s="29"/>
      <c r="AX626" s="29"/>
      <c r="BC626" s="29"/>
      <c r="BD626" s="29"/>
    </row>
    <row r="627">
      <c r="B627" s="70"/>
      <c r="C627" s="70"/>
      <c r="D627" s="70"/>
      <c r="E627" s="70"/>
      <c r="AF627" s="29"/>
      <c r="AH627" s="29"/>
      <c r="AI627" s="29"/>
      <c r="AS627" s="29"/>
      <c r="AU627" s="29"/>
      <c r="AV627" s="29"/>
      <c r="AX627" s="29"/>
      <c r="BC627" s="29"/>
      <c r="BD627" s="29"/>
    </row>
    <row r="628">
      <c r="B628" s="70"/>
      <c r="C628" s="70"/>
      <c r="D628" s="70"/>
      <c r="E628" s="70"/>
      <c r="AF628" s="29"/>
      <c r="AH628" s="29"/>
      <c r="AI628" s="29"/>
      <c r="AS628" s="29"/>
      <c r="AU628" s="29"/>
      <c r="AV628" s="29"/>
      <c r="AX628" s="29"/>
      <c r="BC628" s="29"/>
      <c r="BD628" s="29"/>
    </row>
    <row r="629">
      <c r="B629" s="70"/>
      <c r="C629" s="70"/>
      <c r="D629" s="70"/>
      <c r="E629" s="70"/>
      <c r="AF629" s="29"/>
      <c r="AH629" s="29"/>
      <c r="AI629" s="29"/>
      <c r="AS629" s="29"/>
      <c r="AU629" s="29"/>
      <c r="AV629" s="29"/>
      <c r="AX629" s="29"/>
      <c r="BC629" s="29"/>
      <c r="BD629" s="29"/>
    </row>
    <row r="630">
      <c r="B630" s="70"/>
      <c r="C630" s="70"/>
      <c r="D630" s="70"/>
      <c r="E630" s="70"/>
      <c r="AF630" s="29"/>
      <c r="AH630" s="29"/>
      <c r="AI630" s="29"/>
      <c r="AS630" s="29"/>
      <c r="AU630" s="29"/>
      <c r="AV630" s="29"/>
      <c r="AX630" s="29"/>
      <c r="BC630" s="29"/>
      <c r="BD630" s="29"/>
    </row>
    <row r="631">
      <c r="B631" s="70"/>
      <c r="C631" s="70"/>
      <c r="D631" s="70"/>
      <c r="E631" s="70"/>
      <c r="AF631" s="29"/>
      <c r="AH631" s="29"/>
      <c r="AI631" s="29"/>
      <c r="AS631" s="29"/>
      <c r="AU631" s="29"/>
      <c r="AV631" s="29"/>
      <c r="AX631" s="29"/>
      <c r="BC631" s="29"/>
      <c r="BD631" s="29"/>
    </row>
    <row r="632">
      <c r="B632" s="70"/>
      <c r="C632" s="70"/>
      <c r="D632" s="70"/>
      <c r="E632" s="70"/>
      <c r="AF632" s="29"/>
      <c r="AH632" s="29"/>
      <c r="AI632" s="29"/>
      <c r="AS632" s="29"/>
      <c r="AU632" s="29"/>
      <c r="AV632" s="29"/>
      <c r="AX632" s="29"/>
      <c r="BC632" s="29"/>
      <c r="BD632" s="29"/>
    </row>
    <row r="633">
      <c r="B633" s="70"/>
      <c r="C633" s="70"/>
      <c r="D633" s="70"/>
      <c r="E633" s="70"/>
      <c r="AF633" s="29"/>
      <c r="AH633" s="29"/>
      <c r="AI633" s="29"/>
      <c r="AS633" s="29"/>
      <c r="AU633" s="29"/>
      <c r="AV633" s="29"/>
      <c r="AX633" s="29"/>
      <c r="BC633" s="29"/>
      <c r="BD633" s="29"/>
    </row>
    <row r="634">
      <c r="B634" s="70"/>
      <c r="C634" s="70"/>
      <c r="D634" s="70"/>
      <c r="E634" s="70"/>
      <c r="AF634" s="29"/>
      <c r="AH634" s="29"/>
      <c r="AI634" s="29"/>
      <c r="AS634" s="29"/>
      <c r="AU634" s="29"/>
      <c r="AV634" s="29"/>
      <c r="AX634" s="29"/>
      <c r="BC634" s="29"/>
      <c r="BD634" s="29"/>
    </row>
    <row r="635">
      <c r="B635" s="70"/>
      <c r="C635" s="70"/>
      <c r="D635" s="70"/>
      <c r="E635" s="70"/>
      <c r="AF635" s="29"/>
      <c r="AH635" s="29"/>
      <c r="AI635" s="29"/>
      <c r="AS635" s="29"/>
      <c r="AU635" s="29"/>
      <c r="AV635" s="29"/>
      <c r="AX635" s="29"/>
      <c r="BC635" s="29"/>
      <c r="BD635" s="29"/>
    </row>
    <row r="636">
      <c r="B636" s="70"/>
      <c r="C636" s="70"/>
      <c r="D636" s="70"/>
      <c r="E636" s="70"/>
      <c r="AF636" s="29"/>
      <c r="AH636" s="29"/>
      <c r="AI636" s="29"/>
      <c r="AS636" s="29"/>
      <c r="AU636" s="29"/>
      <c r="AV636" s="29"/>
      <c r="AX636" s="29"/>
      <c r="BC636" s="29"/>
      <c r="BD636" s="29"/>
    </row>
    <row r="637">
      <c r="B637" s="70"/>
      <c r="C637" s="70"/>
      <c r="D637" s="70"/>
      <c r="E637" s="70"/>
      <c r="AF637" s="29"/>
      <c r="AH637" s="29"/>
      <c r="AI637" s="29"/>
      <c r="AS637" s="29"/>
      <c r="AU637" s="29"/>
      <c r="AV637" s="29"/>
      <c r="AX637" s="29"/>
      <c r="BC637" s="29"/>
      <c r="BD637" s="29"/>
    </row>
    <row r="638">
      <c r="B638" s="70"/>
      <c r="C638" s="70"/>
      <c r="D638" s="70"/>
      <c r="E638" s="70"/>
      <c r="AF638" s="29"/>
      <c r="AH638" s="29"/>
      <c r="AI638" s="29"/>
      <c r="AS638" s="29"/>
      <c r="AU638" s="29"/>
      <c r="AV638" s="29"/>
      <c r="AX638" s="29"/>
      <c r="BC638" s="29"/>
      <c r="BD638" s="29"/>
    </row>
    <row r="639">
      <c r="B639" s="70"/>
      <c r="C639" s="70"/>
      <c r="D639" s="70"/>
      <c r="E639" s="70"/>
      <c r="AF639" s="29"/>
      <c r="AH639" s="29"/>
      <c r="AI639" s="29"/>
      <c r="AS639" s="29"/>
      <c r="AU639" s="29"/>
      <c r="AV639" s="29"/>
      <c r="AX639" s="29"/>
      <c r="BC639" s="29"/>
      <c r="BD639" s="29"/>
    </row>
    <row r="640">
      <c r="B640" s="70"/>
      <c r="C640" s="70"/>
      <c r="D640" s="70"/>
      <c r="E640" s="70"/>
      <c r="AF640" s="29"/>
      <c r="AH640" s="29"/>
      <c r="AI640" s="29"/>
      <c r="AS640" s="29"/>
      <c r="AU640" s="29"/>
      <c r="AV640" s="29"/>
      <c r="AX640" s="29"/>
      <c r="BC640" s="29"/>
      <c r="BD640" s="29"/>
    </row>
    <row r="641">
      <c r="B641" s="70"/>
      <c r="C641" s="70"/>
      <c r="D641" s="70"/>
      <c r="E641" s="70"/>
      <c r="AF641" s="29"/>
      <c r="AH641" s="29"/>
      <c r="AI641" s="29"/>
      <c r="AS641" s="29"/>
      <c r="AU641" s="29"/>
      <c r="AV641" s="29"/>
      <c r="AX641" s="29"/>
      <c r="BC641" s="29"/>
      <c r="BD641" s="29"/>
    </row>
    <row r="642">
      <c r="B642" s="70"/>
      <c r="C642" s="70"/>
      <c r="D642" s="70"/>
      <c r="E642" s="70"/>
      <c r="AF642" s="29"/>
      <c r="AH642" s="29"/>
      <c r="AI642" s="29"/>
      <c r="AS642" s="29"/>
      <c r="AU642" s="29"/>
      <c r="AV642" s="29"/>
      <c r="AX642" s="29"/>
      <c r="BC642" s="29"/>
      <c r="BD642" s="29"/>
    </row>
    <row r="643">
      <c r="B643" s="70"/>
      <c r="C643" s="70"/>
      <c r="D643" s="70"/>
      <c r="E643" s="70"/>
      <c r="AF643" s="29"/>
      <c r="AH643" s="29"/>
      <c r="AI643" s="29"/>
      <c r="AS643" s="29"/>
      <c r="AU643" s="29"/>
      <c r="AV643" s="29"/>
      <c r="AX643" s="29"/>
      <c r="BC643" s="29"/>
      <c r="BD643" s="29"/>
    </row>
    <row r="644">
      <c r="B644" s="70"/>
      <c r="C644" s="70"/>
      <c r="D644" s="70"/>
      <c r="E644" s="70"/>
      <c r="AF644" s="29"/>
      <c r="AH644" s="29"/>
      <c r="AI644" s="29"/>
      <c r="AS644" s="29"/>
      <c r="AU644" s="29"/>
      <c r="AV644" s="29"/>
      <c r="AX644" s="29"/>
      <c r="BC644" s="29"/>
      <c r="BD644" s="29"/>
    </row>
    <row r="645">
      <c r="B645" s="70"/>
      <c r="C645" s="70"/>
      <c r="D645" s="70"/>
      <c r="E645" s="70"/>
      <c r="AF645" s="29"/>
      <c r="AH645" s="29"/>
      <c r="AI645" s="29"/>
      <c r="AS645" s="29"/>
      <c r="AU645" s="29"/>
      <c r="AV645" s="29"/>
      <c r="AX645" s="29"/>
      <c r="BC645" s="29"/>
      <c r="BD645" s="29"/>
    </row>
    <row r="646">
      <c r="B646" s="70"/>
      <c r="C646" s="70"/>
      <c r="D646" s="70"/>
      <c r="E646" s="70"/>
      <c r="AF646" s="29"/>
      <c r="AH646" s="29"/>
      <c r="AI646" s="29"/>
      <c r="AS646" s="29"/>
      <c r="AU646" s="29"/>
      <c r="AV646" s="29"/>
      <c r="AX646" s="29"/>
      <c r="BC646" s="29"/>
      <c r="BD646" s="29"/>
    </row>
    <row r="647">
      <c r="B647" s="70"/>
      <c r="C647" s="70"/>
      <c r="D647" s="70"/>
      <c r="E647" s="70"/>
      <c r="AF647" s="29"/>
      <c r="AH647" s="29"/>
      <c r="AI647" s="29"/>
      <c r="AS647" s="29"/>
      <c r="AU647" s="29"/>
      <c r="AV647" s="29"/>
      <c r="AX647" s="29"/>
      <c r="BC647" s="29"/>
      <c r="BD647" s="29"/>
    </row>
    <row r="648">
      <c r="B648" s="70"/>
      <c r="C648" s="70"/>
      <c r="D648" s="70"/>
      <c r="E648" s="70"/>
      <c r="AF648" s="29"/>
      <c r="AH648" s="29"/>
      <c r="AI648" s="29"/>
      <c r="AS648" s="29"/>
      <c r="AU648" s="29"/>
      <c r="AV648" s="29"/>
      <c r="AX648" s="29"/>
      <c r="BC648" s="29"/>
      <c r="BD648" s="29"/>
    </row>
    <row r="649">
      <c r="B649" s="70"/>
      <c r="C649" s="70"/>
      <c r="D649" s="70"/>
      <c r="E649" s="70"/>
      <c r="AF649" s="29"/>
      <c r="AH649" s="29"/>
      <c r="AI649" s="29"/>
      <c r="AS649" s="29"/>
      <c r="AU649" s="29"/>
      <c r="AV649" s="29"/>
      <c r="AX649" s="29"/>
      <c r="BC649" s="29"/>
      <c r="BD649" s="29"/>
    </row>
    <row r="650">
      <c r="B650" s="70"/>
      <c r="C650" s="70"/>
      <c r="D650" s="70"/>
      <c r="E650" s="70"/>
      <c r="AF650" s="29"/>
      <c r="AH650" s="29"/>
      <c r="AI650" s="29"/>
      <c r="AS650" s="29"/>
      <c r="AU650" s="29"/>
      <c r="AV650" s="29"/>
      <c r="AX650" s="29"/>
      <c r="BC650" s="29"/>
      <c r="BD650" s="29"/>
    </row>
    <row r="651">
      <c r="B651" s="70"/>
      <c r="C651" s="70"/>
      <c r="D651" s="70"/>
      <c r="E651" s="70"/>
      <c r="AF651" s="29"/>
      <c r="AH651" s="29"/>
      <c r="AI651" s="29"/>
      <c r="AS651" s="29"/>
      <c r="AU651" s="29"/>
      <c r="AV651" s="29"/>
      <c r="AX651" s="29"/>
      <c r="BC651" s="29"/>
      <c r="BD651" s="29"/>
    </row>
    <row r="652">
      <c r="B652" s="70"/>
      <c r="C652" s="70"/>
      <c r="D652" s="70"/>
      <c r="E652" s="70"/>
      <c r="AF652" s="29"/>
      <c r="AH652" s="29"/>
      <c r="AI652" s="29"/>
      <c r="AS652" s="29"/>
      <c r="AU652" s="29"/>
      <c r="AV652" s="29"/>
      <c r="AX652" s="29"/>
      <c r="BC652" s="29"/>
      <c r="BD652" s="29"/>
    </row>
    <row r="653">
      <c r="B653" s="70"/>
      <c r="C653" s="70"/>
      <c r="D653" s="70"/>
      <c r="E653" s="70"/>
      <c r="AF653" s="29"/>
      <c r="AH653" s="29"/>
      <c r="AI653" s="29"/>
      <c r="AS653" s="29"/>
      <c r="AU653" s="29"/>
      <c r="AV653" s="29"/>
      <c r="AX653" s="29"/>
      <c r="BC653" s="29"/>
      <c r="BD653" s="29"/>
    </row>
    <row r="654">
      <c r="B654" s="70"/>
      <c r="C654" s="70"/>
      <c r="D654" s="70"/>
      <c r="E654" s="70"/>
      <c r="AF654" s="29"/>
      <c r="AH654" s="29"/>
      <c r="AI654" s="29"/>
      <c r="AS654" s="29"/>
      <c r="AU654" s="29"/>
      <c r="AV654" s="29"/>
      <c r="AX654" s="29"/>
      <c r="BC654" s="29"/>
      <c r="BD654" s="29"/>
    </row>
    <row r="655">
      <c r="B655" s="70"/>
      <c r="C655" s="70"/>
      <c r="D655" s="70"/>
      <c r="E655" s="70"/>
      <c r="AF655" s="29"/>
      <c r="AH655" s="29"/>
      <c r="AI655" s="29"/>
      <c r="AS655" s="29"/>
      <c r="AU655" s="29"/>
      <c r="AV655" s="29"/>
      <c r="AX655" s="29"/>
      <c r="BC655" s="29"/>
      <c r="BD655" s="29"/>
    </row>
    <row r="656">
      <c r="B656" s="70"/>
      <c r="C656" s="70"/>
      <c r="D656" s="70"/>
      <c r="E656" s="70"/>
      <c r="AF656" s="29"/>
      <c r="AH656" s="29"/>
      <c r="AI656" s="29"/>
      <c r="AS656" s="29"/>
      <c r="AU656" s="29"/>
      <c r="AV656" s="29"/>
      <c r="AX656" s="29"/>
      <c r="BC656" s="29"/>
      <c r="BD656" s="29"/>
    </row>
    <row r="657">
      <c r="B657" s="70"/>
      <c r="C657" s="70"/>
      <c r="D657" s="70"/>
      <c r="E657" s="70"/>
      <c r="AF657" s="29"/>
      <c r="AH657" s="29"/>
      <c r="AI657" s="29"/>
      <c r="AS657" s="29"/>
      <c r="AU657" s="29"/>
      <c r="AV657" s="29"/>
      <c r="AX657" s="29"/>
      <c r="BC657" s="29"/>
      <c r="BD657" s="29"/>
    </row>
    <row r="658">
      <c r="B658" s="70"/>
      <c r="C658" s="70"/>
      <c r="D658" s="70"/>
      <c r="E658" s="70"/>
      <c r="AF658" s="29"/>
      <c r="AH658" s="29"/>
      <c r="AI658" s="29"/>
      <c r="AS658" s="29"/>
      <c r="AU658" s="29"/>
      <c r="AV658" s="29"/>
      <c r="AX658" s="29"/>
      <c r="BC658" s="29"/>
      <c r="BD658" s="29"/>
    </row>
    <row r="659">
      <c r="B659" s="70"/>
      <c r="C659" s="70"/>
      <c r="D659" s="70"/>
      <c r="E659" s="70"/>
      <c r="AF659" s="29"/>
      <c r="AH659" s="29"/>
      <c r="AI659" s="29"/>
      <c r="AS659" s="29"/>
      <c r="AU659" s="29"/>
      <c r="AV659" s="29"/>
      <c r="AX659" s="29"/>
      <c r="BC659" s="29"/>
      <c r="BD659" s="29"/>
    </row>
    <row r="660">
      <c r="B660" s="70"/>
      <c r="C660" s="70"/>
      <c r="D660" s="70"/>
      <c r="E660" s="70"/>
      <c r="AF660" s="29"/>
      <c r="AH660" s="29"/>
      <c r="AI660" s="29"/>
      <c r="AS660" s="29"/>
      <c r="AU660" s="29"/>
      <c r="AV660" s="29"/>
      <c r="AX660" s="29"/>
      <c r="BC660" s="29"/>
      <c r="BD660" s="29"/>
    </row>
    <row r="661">
      <c r="B661" s="70"/>
      <c r="C661" s="70"/>
      <c r="D661" s="70"/>
      <c r="E661" s="70"/>
      <c r="AF661" s="29"/>
      <c r="AH661" s="29"/>
      <c r="AI661" s="29"/>
      <c r="AS661" s="29"/>
      <c r="AU661" s="29"/>
      <c r="AV661" s="29"/>
      <c r="AX661" s="29"/>
      <c r="BC661" s="29"/>
      <c r="BD661" s="29"/>
    </row>
    <row r="662">
      <c r="B662" s="70"/>
      <c r="C662" s="70"/>
      <c r="D662" s="70"/>
      <c r="E662" s="70"/>
      <c r="AF662" s="29"/>
      <c r="AH662" s="29"/>
      <c r="AI662" s="29"/>
      <c r="AS662" s="29"/>
      <c r="AU662" s="29"/>
      <c r="AV662" s="29"/>
      <c r="AX662" s="29"/>
      <c r="BC662" s="29"/>
      <c r="BD662" s="29"/>
    </row>
    <row r="663">
      <c r="B663" s="70"/>
      <c r="C663" s="70"/>
      <c r="D663" s="70"/>
      <c r="E663" s="70"/>
      <c r="AF663" s="29"/>
      <c r="AH663" s="29"/>
      <c r="AI663" s="29"/>
      <c r="AS663" s="29"/>
      <c r="AU663" s="29"/>
      <c r="AV663" s="29"/>
      <c r="AX663" s="29"/>
      <c r="BC663" s="29"/>
      <c r="BD663" s="29"/>
    </row>
    <row r="664">
      <c r="B664" s="70"/>
      <c r="C664" s="70"/>
      <c r="D664" s="70"/>
      <c r="E664" s="70"/>
      <c r="AF664" s="29"/>
      <c r="AH664" s="29"/>
      <c r="AI664" s="29"/>
      <c r="AS664" s="29"/>
      <c r="AU664" s="29"/>
      <c r="AV664" s="29"/>
      <c r="AX664" s="29"/>
      <c r="BC664" s="29"/>
      <c r="BD664" s="29"/>
    </row>
    <row r="665">
      <c r="B665" s="70"/>
      <c r="C665" s="70"/>
      <c r="D665" s="70"/>
      <c r="E665" s="70"/>
      <c r="AF665" s="29"/>
      <c r="AH665" s="29"/>
      <c r="AI665" s="29"/>
      <c r="AS665" s="29"/>
      <c r="AU665" s="29"/>
      <c r="AV665" s="29"/>
      <c r="AX665" s="29"/>
      <c r="BC665" s="29"/>
      <c r="BD665" s="29"/>
    </row>
    <row r="666">
      <c r="B666" s="70"/>
      <c r="C666" s="70"/>
      <c r="D666" s="70"/>
      <c r="E666" s="70"/>
      <c r="AF666" s="29"/>
      <c r="AH666" s="29"/>
      <c r="AI666" s="29"/>
      <c r="AS666" s="29"/>
      <c r="AU666" s="29"/>
      <c r="AV666" s="29"/>
      <c r="AX666" s="29"/>
      <c r="BC666" s="29"/>
      <c r="BD666" s="29"/>
    </row>
    <row r="667">
      <c r="B667" s="70"/>
      <c r="C667" s="70"/>
      <c r="D667" s="70"/>
      <c r="E667" s="70"/>
      <c r="AF667" s="29"/>
      <c r="AH667" s="29"/>
      <c r="AI667" s="29"/>
      <c r="AS667" s="29"/>
      <c r="AU667" s="29"/>
      <c r="AV667" s="29"/>
      <c r="AX667" s="29"/>
      <c r="BC667" s="29"/>
      <c r="BD667" s="29"/>
    </row>
    <row r="668">
      <c r="B668" s="70"/>
      <c r="C668" s="70"/>
      <c r="D668" s="70"/>
      <c r="E668" s="70"/>
      <c r="AF668" s="29"/>
      <c r="AH668" s="29"/>
      <c r="AI668" s="29"/>
      <c r="AS668" s="29"/>
      <c r="AU668" s="29"/>
      <c r="AV668" s="29"/>
      <c r="AX668" s="29"/>
      <c r="BC668" s="29"/>
      <c r="BD668" s="29"/>
    </row>
    <row r="669">
      <c r="B669" s="70"/>
      <c r="C669" s="70"/>
      <c r="D669" s="70"/>
      <c r="E669" s="70"/>
      <c r="AF669" s="29"/>
      <c r="AH669" s="29"/>
      <c r="AI669" s="29"/>
      <c r="AS669" s="29"/>
      <c r="AU669" s="29"/>
      <c r="AV669" s="29"/>
      <c r="AX669" s="29"/>
      <c r="BC669" s="29"/>
      <c r="BD669" s="29"/>
    </row>
    <row r="670">
      <c r="B670" s="70"/>
      <c r="C670" s="70"/>
      <c r="D670" s="70"/>
      <c r="E670" s="70"/>
      <c r="AF670" s="29"/>
      <c r="AH670" s="29"/>
      <c r="AI670" s="29"/>
      <c r="AS670" s="29"/>
      <c r="AU670" s="29"/>
      <c r="AV670" s="29"/>
      <c r="AX670" s="29"/>
      <c r="BC670" s="29"/>
      <c r="BD670" s="29"/>
    </row>
    <row r="671">
      <c r="B671" s="70"/>
      <c r="C671" s="70"/>
      <c r="D671" s="70"/>
      <c r="E671" s="70"/>
      <c r="AF671" s="29"/>
      <c r="AH671" s="29"/>
      <c r="AI671" s="29"/>
      <c r="AS671" s="29"/>
      <c r="AU671" s="29"/>
      <c r="AV671" s="29"/>
      <c r="AX671" s="29"/>
      <c r="BC671" s="29"/>
      <c r="BD671" s="29"/>
    </row>
    <row r="672">
      <c r="B672" s="70"/>
      <c r="C672" s="70"/>
      <c r="D672" s="70"/>
      <c r="E672" s="70"/>
      <c r="AF672" s="29"/>
      <c r="AH672" s="29"/>
      <c r="AI672" s="29"/>
      <c r="AS672" s="29"/>
      <c r="AU672" s="29"/>
      <c r="AV672" s="29"/>
      <c r="AX672" s="29"/>
      <c r="BC672" s="29"/>
      <c r="BD672" s="29"/>
    </row>
    <row r="673">
      <c r="B673" s="70"/>
      <c r="C673" s="70"/>
      <c r="D673" s="70"/>
      <c r="E673" s="70"/>
      <c r="AF673" s="29"/>
      <c r="AH673" s="29"/>
      <c r="AI673" s="29"/>
      <c r="AS673" s="29"/>
      <c r="AU673" s="29"/>
      <c r="AV673" s="29"/>
      <c r="AX673" s="29"/>
      <c r="BC673" s="29"/>
      <c r="BD673" s="29"/>
    </row>
    <row r="674">
      <c r="B674" s="70"/>
      <c r="C674" s="70"/>
      <c r="D674" s="70"/>
      <c r="E674" s="70"/>
      <c r="AF674" s="29"/>
      <c r="AH674" s="29"/>
      <c r="AI674" s="29"/>
      <c r="AS674" s="29"/>
      <c r="AU674" s="29"/>
      <c r="AV674" s="29"/>
      <c r="AX674" s="29"/>
      <c r="BC674" s="29"/>
      <c r="BD674" s="29"/>
    </row>
    <row r="675">
      <c r="B675" s="70"/>
      <c r="C675" s="70"/>
      <c r="D675" s="70"/>
      <c r="E675" s="70"/>
      <c r="AF675" s="29"/>
      <c r="AH675" s="29"/>
      <c r="AI675" s="29"/>
      <c r="AS675" s="29"/>
      <c r="AU675" s="29"/>
      <c r="AV675" s="29"/>
      <c r="AX675" s="29"/>
      <c r="BC675" s="29"/>
      <c r="BD675" s="29"/>
    </row>
    <row r="676">
      <c r="B676" s="70"/>
      <c r="C676" s="70"/>
      <c r="D676" s="70"/>
      <c r="E676" s="70"/>
      <c r="AF676" s="29"/>
      <c r="AH676" s="29"/>
      <c r="AI676" s="29"/>
      <c r="AS676" s="29"/>
      <c r="AU676" s="29"/>
      <c r="AV676" s="29"/>
      <c r="AX676" s="29"/>
      <c r="BC676" s="29"/>
      <c r="BD676" s="29"/>
    </row>
    <row r="677">
      <c r="B677" s="70"/>
      <c r="C677" s="70"/>
      <c r="D677" s="70"/>
      <c r="E677" s="70"/>
      <c r="AF677" s="29"/>
      <c r="AH677" s="29"/>
      <c r="AI677" s="29"/>
      <c r="AS677" s="29"/>
      <c r="AU677" s="29"/>
      <c r="AV677" s="29"/>
      <c r="AX677" s="29"/>
      <c r="BC677" s="29"/>
      <c r="BD677" s="29"/>
    </row>
    <row r="678">
      <c r="B678" s="70"/>
      <c r="C678" s="70"/>
      <c r="D678" s="70"/>
      <c r="E678" s="70"/>
      <c r="AF678" s="29"/>
      <c r="AH678" s="29"/>
      <c r="AI678" s="29"/>
      <c r="AS678" s="29"/>
      <c r="AU678" s="29"/>
      <c r="AV678" s="29"/>
      <c r="AX678" s="29"/>
      <c r="BC678" s="29"/>
      <c r="BD678" s="29"/>
    </row>
    <row r="679">
      <c r="B679" s="70"/>
      <c r="C679" s="70"/>
      <c r="D679" s="70"/>
      <c r="E679" s="70"/>
      <c r="AF679" s="29"/>
      <c r="AH679" s="29"/>
      <c r="AI679" s="29"/>
      <c r="AS679" s="29"/>
      <c r="AU679" s="29"/>
      <c r="AV679" s="29"/>
      <c r="AX679" s="29"/>
      <c r="BC679" s="29"/>
      <c r="BD679" s="29"/>
    </row>
    <row r="680">
      <c r="B680" s="70"/>
      <c r="C680" s="70"/>
      <c r="D680" s="70"/>
      <c r="E680" s="70"/>
      <c r="AF680" s="29"/>
      <c r="AH680" s="29"/>
      <c r="AI680" s="29"/>
      <c r="AS680" s="29"/>
      <c r="AU680" s="29"/>
      <c r="AV680" s="29"/>
      <c r="AX680" s="29"/>
      <c r="BC680" s="29"/>
      <c r="BD680" s="29"/>
    </row>
    <row r="681">
      <c r="B681" s="70"/>
      <c r="C681" s="70"/>
      <c r="D681" s="70"/>
      <c r="E681" s="70"/>
      <c r="AF681" s="29"/>
      <c r="AH681" s="29"/>
      <c r="AI681" s="29"/>
      <c r="AS681" s="29"/>
      <c r="AU681" s="29"/>
      <c r="AV681" s="29"/>
      <c r="AX681" s="29"/>
      <c r="BC681" s="29"/>
      <c r="BD681" s="29"/>
    </row>
    <row r="682">
      <c r="B682" s="70"/>
      <c r="C682" s="70"/>
      <c r="D682" s="70"/>
      <c r="E682" s="70"/>
      <c r="AF682" s="29"/>
      <c r="AH682" s="29"/>
      <c r="AI682" s="29"/>
      <c r="AS682" s="29"/>
      <c r="AU682" s="29"/>
      <c r="AV682" s="29"/>
      <c r="AX682" s="29"/>
      <c r="BC682" s="29"/>
      <c r="BD682" s="29"/>
    </row>
    <row r="683">
      <c r="B683" s="70"/>
      <c r="C683" s="70"/>
      <c r="D683" s="70"/>
      <c r="E683" s="70"/>
      <c r="AF683" s="29"/>
      <c r="AH683" s="29"/>
      <c r="AI683" s="29"/>
      <c r="AS683" s="29"/>
      <c r="AU683" s="29"/>
      <c r="AV683" s="29"/>
      <c r="AX683" s="29"/>
      <c r="BC683" s="29"/>
      <c r="BD683" s="29"/>
    </row>
    <row r="684">
      <c r="B684" s="70"/>
      <c r="C684" s="70"/>
      <c r="D684" s="70"/>
      <c r="E684" s="70"/>
      <c r="AF684" s="29"/>
      <c r="AH684" s="29"/>
      <c r="AI684" s="29"/>
      <c r="AS684" s="29"/>
      <c r="AU684" s="29"/>
      <c r="AV684" s="29"/>
      <c r="AX684" s="29"/>
      <c r="BC684" s="29"/>
      <c r="BD684" s="29"/>
    </row>
    <row r="685">
      <c r="B685" s="70"/>
      <c r="C685" s="70"/>
      <c r="D685" s="70"/>
      <c r="E685" s="70"/>
      <c r="AF685" s="29"/>
      <c r="AH685" s="29"/>
      <c r="AI685" s="29"/>
      <c r="AS685" s="29"/>
      <c r="AU685" s="29"/>
      <c r="AV685" s="29"/>
      <c r="AX685" s="29"/>
      <c r="BC685" s="29"/>
      <c r="BD685" s="29"/>
    </row>
    <row r="686">
      <c r="B686" s="70"/>
      <c r="C686" s="70"/>
      <c r="D686" s="70"/>
      <c r="E686" s="70"/>
      <c r="AF686" s="29"/>
      <c r="AH686" s="29"/>
      <c r="AI686" s="29"/>
      <c r="AS686" s="29"/>
      <c r="AU686" s="29"/>
      <c r="AV686" s="29"/>
      <c r="AX686" s="29"/>
      <c r="BC686" s="29"/>
      <c r="BD686" s="29"/>
    </row>
    <row r="687">
      <c r="B687" s="70"/>
      <c r="C687" s="70"/>
      <c r="D687" s="70"/>
      <c r="E687" s="70"/>
      <c r="AF687" s="29"/>
      <c r="AH687" s="29"/>
      <c r="AI687" s="29"/>
      <c r="AS687" s="29"/>
      <c r="AU687" s="29"/>
      <c r="AV687" s="29"/>
      <c r="AX687" s="29"/>
      <c r="BC687" s="29"/>
      <c r="BD687" s="29"/>
    </row>
    <row r="688">
      <c r="B688" s="70"/>
      <c r="C688" s="70"/>
      <c r="D688" s="70"/>
      <c r="E688" s="70"/>
      <c r="AF688" s="29"/>
      <c r="AH688" s="29"/>
      <c r="AI688" s="29"/>
      <c r="AS688" s="29"/>
      <c r="AU688" s="29"/>
      <c r="AV688" s="29"/>
      <c r="AX688" s="29"/>
      <c r="BC688" s="29"/>
      <c r="BD688" s="29"/>
    </row>
    <row r="689">
      <c r="B689" s="70"/>
      <c r="C689" s="70"/>
      <c r="D689" s="70"/>
      <c r="E689" s="70"/>
      <c r="AF689" s="29"/>
      <c r="AH689" s="29"/>
      <c r="AI689" s="29"/>
      <c r="AS689" s="29"/>
      <c r="AU689" s="29"/>
      <c r="AV689" s="29"/>
      <c r="AX689" s="29"/>
      <c r="BC689" s="29"/>
      <c r="BD689" s="29"/>
    </row>
    <row r="690">
      <c r="B690" s="70"/>
      <c r="C690" s="70"/>
      <c r="D690" s="70"/>
      <c r="E690" s="70"/>
      <c r="AF690" s="29"/>
      <c r="AH690" s="29"/>
      <c r="AI690" s="29"/>
      <c r="AS690" s="29"/>
      <c r="AU690" s="29"/>
      <c r="AV690" s="29"/>
      <c r="AX690" s="29"/>
      <c r="BC690" s="29"/>
      <c r="BD690" s="29"/>
    </row>
    <row r="691">
      <c r="B691" s="70"/>
      <c r="C691" s="70"/>
      <c r="D691" s="70"/>
      <c r="E691" s="70"/>
      <c r="AF691" s="29"/>
      <c r="AH691" s="29"/>
      <c r="AI691" s="29"/>
      <c r="AS691" s="29"/>
      <c r="AU691" s="29"/>
      <c r="AV691" s="29"/>
      <c r="AX691" s="29"/>
      <c r="BC691" s="29"/>
      <c r="BD691" s="29"/>
    </row>
    <row r="692">
      <c r="B692" s="70"/>
      <c r="C692" s="70"/>
      <c r="D692" s="70"/>
      <c r="E692" s="70"/>
      <c r="AF692" s="29"/>
      <c r="AH692" s="29"/>
      <c r="AI692" s="29"/>
      <c r="AS692" s="29"/>
      <c r="AU692" s="29"/>
      <c r="AV692" s="29"/>
      <c r="AX692" s="29"/>
      <c r="BC692" s="29"/>
      <c r="BD692" s="29"/>
    </row>
    <row r="693">
      <c r="B693" s="70"/>
      <c r="C693" s="70"/>
      <c r="D693" s="70"/>
      <c r="E693" s="70"/>
      <c r="AF693" s="29"/>
      <c r="AH693" s="29"/>
      <c r="AI693" s="29"/>
      <c r="AS693" s="29"/>
      <c r="AU693" s="29"/>
      <c r="AV693" s="29"/>
      <c r="AX693" s="29"/>
      <c r="BC693" s="29"/>
      <c r="BD693" s="29"/>
    </row>
    <row r="694">
      <c r="B694" s="70"/>
      <c r="C694" s="70"/>
      <c r="D694" s="70"/>
      <c r="E694" s="70"/>
      <c r="AF694" s="29"/>
      <c r="AH694" s="29"/>
      <c r="AI694" s="29"/>
      <c r="AS694" s="29"/>
      <c r="AU694" s="29"/>
      <c r="AV694" s="29"/>
      <c r="AX694" s="29"/>
      <c r="BC694" s="29"/>
      <c r="BD694" s="29"/>
    </row>
    <row r="695">
      <c r="B695" s="70"/>
      <c r="C695" s="70"/>
      <c r="D695" s="70"/>
      <c r="E695" s="70"/>
      <c r="AF695" s="29"/>
      <c r="AH695" s="29"/>
      <c r="AI695" s="29"/>
      <c r="AS695" s="29"/>
      <c r="AU695" s="29"/>
      <c r="AV695" s="29"/>
      <c r="AX695" s="29"/>
      <c r="BC695" s="29"/>
      <c r="BD695" s="29"/>
    </row>
    <row r="696">
      <c r="B696" s="70"/>
      <c r="C696" s="70"/>
      <c r="D696" s="70"/>
      <c r="E696" s="70"/>
      <c r="AF696" s="29"/>
      <c r="AH696" s="29"/>
      <c r="AI696" s="29"/>
      <c r="AS696" s="29"/>
      <c r="AU696" s="29"/>
      <c r="AV696" s="29"/>
      <c r="AX696" s="29"/>
      <c r="BC696" s="29"/>
      <c r="BD696" s="29"/>
    </row>
    <row r="697">
      <c r="B697" s="70"/>
      <c r="C697" s="70"/>
      <c r="D697" s="70"/>
      <c r="E697" s="70"/>
      <c r="AF697" s="29"/>
      <c r="AH697" s="29"/>
      <c r="AI697" s="29"/>
      <c r="AS697" s="29"/>
      <c r="AU697" s="29"/>
      <c r="AV697" s="29"/>
      <c r="AX697" s="29"/>
      <c r="BC697" s="29"/>
      <c r="BD697" s="29"/>
    </row>
    <row r="698">
      <c r="B698" s="70"/>
      <c r="C698" s="70"/>
      <c r="D698" s="70"/>
      <c r="E698" s="70"/>
      <c r="AF698" s="29"/>
      <c r="AH698" s="29"/>
      <c r="AI698" s="29"/>
      <c r="AS698" s="29"/>
      <c r="AU698" s="29"/>
      <c r="AV698" s="29"/>
      <c r="AX698" s="29"/>
      <c r="BC698" s="29"/>
      <c r="BD698" s="29"/>
    </row>
    <row r="699">
      <c r="B699" s="70"/>
      <c r="C699" s="70"/>
      <c r="D699" s="70"/>
      <c r="E699" s="70"/>
      <c r="AF699" s="29"/>
      <c r="AH699" s="29"/>
      <c r="AI699" s="29"/>
      <c r="AS699" s="29"/>
      <c r="AU699" s="29"/>
      <c r="AV699" s="29"/>
      <c r="AX699" s="29"/>
      <c r="BC699" s="29"/>
      <c r="BD699" s="29"/>
    </row>
    <row r="700">
      <c r="B700" s="70"/>
      <c r="C700" s="70"/>
      <c r="D700" s="70"/>
      <c r="E700" s="70"/>
      <c r="AF700" s="29"/>
      <c r="AH700" s="29"/>
      <c r="AI700" s="29"/>
      <c r="AS700" s="29"/>
      <c r="AU700" s="29"/>
      <c r="AV700" s="29"/>
      <c r="AX700" s="29"/>
      <c r="BC700" s="29"/>
      <c r="BD700" s="29"/>
    </row>
    <row r="701">
      <c r="B701" s="70"/>
      <c r="C701" s="70"/>
      <c r="D701" s="70"/>
      <c r="E701" s="70"/>
      <c r="AF701" s="29"/>
      <c r="AH701" s="29"/>
      <c r="AI701" s="29"/>
      <c r="AS701" s="29"/>
      <c r="AU701" s="29"/>
      <c r="AV701" s="29"/>
      <c r="AX701" s="29"/>
      <c r="BC701" s="29"/>
      <c r="BD701" s="29"/>
    </row>
    <row r="702">
      <c r="B702" s="70"/>
      <c r="C702" s="70"/>
      <c r="D702" s="70"/>
      <c r="E702" s="70"/>
      <c r="AF702" s="29"/>
      <c r="AH702" s="29"/>
      <c r="AI702" s="29"/>
      <c r="AS702" s="29"/>
      <c r="AU702" s="29"/>
      <c r="AV702" s="29"/>
      <c r="AX702" s="29"/>
      <c r="BC702" s="29"/>
      <c r="BD702" s="29"/>
    </row>
    <row r="703">
      <c r="B703" s="70"/>
      <c r="C703" s="70"/>
      <c r="D703" s="70"/>
      <c r="E703" s="70"/>
      <c r="AF703" s="29"/>
      <c r="AH703" s="29"/>
      <c r="AI703" s="29"/>
      <c r="AS703" s="29"/>
      <c r="AU703" s="29"/>
      <c r="AV703" s="29"/>
      <c r="AX703" s="29"/>
      <c r="BC703" s="29"/>
      <c r="BD703" s="29"/>
    </row>
    <row r="704">
      <c r="B704" s="70"/>
      <c r="C704" s="70"/>
      <c r="D704" s="70"/>
      <c r="E704" s="70"/>
      <c r="AF704" s="29"/>
      <c r="AH704" s="29"/>
      <c r="AI704" s="29"/>
      <c r="AS704" s="29"/>
      <c r="AU704" s="29"/>
      <c r="AV704" s="29"/>
      <c r="AX704" s="29"/>
      <c r="BC704" s="29"/>
      <c r="BD704" s="29"/>
    </row>
    <row r="705">
      <c r="B705" s="70"/>
      <c r="C705" s="70"/>
      <c r="D705" s="70"/>
      <c r="E705" s="70"/>
      <c r="AF705" s="29"/>
      <c r="AH705" s="29"/>
      <c r="AI705" s="29"/>
      <c r="AS705" s="29"/>
      <c r="AU705" s="29"/>
      <c r="AV705" s="29"/>
      <c r="AX705" s="29"/>
      <c r="BC705" s="29"/>
      <c r="BD705" s="29"/>
    </row>
    <row r="706">
      <c r="B706" s="70"/>
      <c r="C706" s="70"/>
      <c r="D706" s="70"/>
      <c r="E706" s="70"/>
      <c r="AF706" s="29"/>
      <c r="AH706" s="29"/>
      <c r="AI706" s="29"/>
      <c r="AS706" s="29"/>
      <c r="AU706" s="29"/>
      <c r="AV706" s="29"/>
      <c r="AX706" s="29"/>
      <c r="BC706" s="29"/>
      <c r="BD706" s="29"/>
    </row>
    <row r="707">
      <c r="B707" s="70"/>
      <c r="C707" s="70"/>
      <c r="D707" s="70"/>
      <c r="E707" s="70"/>
      <c r="AF707" s="29"/>
      <c r="AH707" s="29"/>
      <c r="AI707" s="29"/>
      <c r="AS707" s="29"/>
      <c r="AU707" s="29"/>
      <c r="AV707" s="29"/>
      <c r="AX707" s="29"/>
      <c r="BC707" s="29"/>
      <c r="BD707" s="29"/>
    </row>
    <row r="708">
      <c r="B708" s="70"/>
      <c r="C708" s="70"/>
      <c r="D708" s="70"/>
      <c r="E708" s="70"/>
      <c r="AF708" s="29"/>
      <c r="AH708" s="29"/>
      <c r="AI708" s="29"/>
      <c r="AS708" s="29"/>
      <c r="AU708" s="29"/>
      <c r="AV708" s="29"/>
      <c r="AX708" s="29"/>
      <c r="BC708" s="29"/>
      <c r="BD708" s="29"/>
    </row>
    <row r="709">
      <c r="B709" s="70"/>
      <c r="C709" s="70"/>
      <c r="D709" s="70"/>
      <c r="E709" s="70"/>
      <c r="AF709" s="29"/>
      <c r="AH709" s="29"/>
      <c r="AI709" s="29"/>
      <c r="AS709" s="29"/>
      <c r="AU709" s="29"/>
      <c r="AV709" s="29"/>
      <c r="AX709" s="29"/>
      <c r="BC709" s="29"/>
      <c r="BD709" s="29"/>
    </row>
    <row r="710">
      <c r="B710" s="70"/>
      <c r="C710" s="70"/>
      <c r="D710" s="70"/>
      <c r="E710" s="70"/>
      <c r="AF710" s="29"/>
      <c r="AH710" s="29"/>
      <c r="AI710" s="29"/>
      <c r="AS710" s="29"/>
      <c r="AU710" s="29"/>
      <c r="AV710" s="29"/>
      <c r="AX710" s="29"/>
      <c r="BC710" s="29"/>
      <c r="BD710" s="29"/>
    </row>
    <row r="711">
      <c r="B711" s="70"/>
      <c r="C711" s="70"/>
      <c r="D711" s="70"/>
      <c r="E711" s="70"/>
      <c r="AF711" s="29"/>
      <c r="AH711" s="29"/>
      <c r="AI711" s="29"/>
      <c r="AS711" s="29"/>
      <c r="AU711" s="29"/>
      <c r="AV711" s="29"/>
      <c r="AX711" s="29"/>
      <c r="BC711" s="29"/>
      <c r="BD711" s="29"/>
    </row>
    <row r="712">
      <c r="B712" s="70"/>
      <c r="C712" s="70"/>
      <c r="D712" s="70"/>
      <c r="E712" s="70"/>
      <c r="AF712" s="29"/>
      <c r="AH712" s="29"/>
      <c r="AI712" s="29"/>
      <c r="AS712" s="29"/>
      <c r="AU712" s="29"/>
      <c r="AV712" s="29"/>
      <c r="AX712" s="29"/>
      <c r="BC712" s="29"/>
      <c r="BD712" s="29"/>
    </row>
    <row r="713">
      <c r="B713" s="70"/>
      <c r="C713" s="70"/>
      <c r="D713" s="70"/>
      <c r="E713" s="70"/>
      <c r="AF713" s="29"/>
      <c r="AH713" s="29"/>
      <c r="AI713" s="29"/>
      <c r="AS713" s="29"/>
      <c r="AU713" s="29"/>
      <c r="AV713" s="29"/>
      <c r="AX713" s="29"/>
      <c r="BC713" s="29"/>
      <c r="BD713" s="29"/>
    </row>
    <row r="714">
      <c r="B714" s="70"/>
      <c r="C714" s="70"/>
      <c r="D714" s="70"/>
      <c r="E714" s="70"/>
      <c r="AF714" s="29"/>
      <c r="AH714" s="29"/>
      <c r="AI714" s="29"/>
      <c r="AS714" s="29"/>
      <c r="AU714" s="29"/>
      <c r="AV714" s="29"/>
      <c r="AX714" s="29"/>
      <c r="BC714" s="29"/>
      <c r="BD714" s="29"/>
    </row>
    <row r="715">
      <c r="B715" s="70"/>
      <c r="C715" s="70"/>
      <c r="D715" s="70"/>
      <c r="E715" s="70"/>
      <c r="AF715" s="29"/>
      <c r="AH715" s="29"/>
      <c r="AI715" s="29"/>
      <c r="AS715" s="29"/>
      <c r="AU715" s="29"/>
      <c r="AV715" s="29"/>
      <c r="AX715" s="29"/>
      <c r="BC715" s="29"/>
      <c r="BD715" s="29"/>
    </row>
    <row r="716">
      <c r="B716" s="70"/>
      <c r="C716" s="70"/>
      <c r="D716" s="70"/>
      <c r="E716" s="70"/>
      <c r="AF716" s="29"/>
      <c r="AH716" s="29"/>
      <c r="AI716" s="29"/>
      <c r="AS716" s="29"/>
      <c r="AU716" s="29"/>
      <c r="AV716" s="29"/>
      <c r="AX716" s="29"/>
      <c r="BC716" s="29"/>
      <c r="BD716" s="29"/>
    </row>
    <row r="717">
      <c r="B717" s="70"/>
      <c r="C717" s="70"/>
      <c r="D717" s="70"/>
      <c r="E717" s="70"/>
      <c r="AF717" s="29"/>
      <c r="AH717" s="29"/>
      <c r="AI717" s="29"/>
      <c r="AS717" s="29"/>
      <c r="AU717" s="29"/>
      <c r="AV717" s="29"/>
      <c r="AX717" s="29"/>
      <c r="BC717" s="29"/>
      <c r="BD717" s="29"/>
    </row>
    <row r="718">
      <c r="B718" s="70"/>
      <c r="C718" s="70"/>
      <c r="D718" s="70"/>
      <c r="E718" s="70"/>
      <c r="AF718" s="29"/>
      <c r="AH718" s="29"/>
      <c r="AI718" s="29"/>
      <c r="AS718" s="29"/>
      <c r="AU718" s="29"/>
      <c r="AV718" s="29"/>
      <c r="AX718" s="29"/>
      <c r="BC718" s="29"/>
      <c r="BD718" s="29"/>
    </row>
    <row r="719">
      <c r="B719" s="70"/>
      <c r="C719" s="70"/>
      <c r="D719" s="70"/>
      <c r="E719" s="70"/>
      <c r="AF719" s="29"/>
      <c r="AH719" s="29"/>
      <c r="AI719" s="29"/>
      <c r="AS719" s="29"/>
      <c r="AU719" s="29"/>
      <c r="AV719" s="29"/>
      <c r="AX719" s="29"/>
      <c r="BC719" s="29"/>
      <c r="BD719" s="29"/>
    </row>
    <row r="720">
      <c r="B720" s="70"/>
      <c r="C720" s="70"/>
      <c r="D720" s="70"/>
      <c r="E720" s="70"/>
      <c r="AF720" s="29"/>
      <c r="AH720" s="29"/>
      <c r="AI720" s="29"/>
      <c r="AS720" s="29"/>
      <c r="AU720" s="29"/>
      <c r="AV720" s="29"/>
      <c r="AX720" s="29"/>
      <c r="BC720" s="29"/>
      <c r="BD720" s="29"/>
    </row>
    <row r="721">
      <c r="B721" s="70"/>
      <c r="C721" s="70"/>
      <c r="D721" s="70"/>
      <c r="E721" s="70"/>
      <c r="AF721" s="29"/>
      <c r="AH721" s="29"/>
      <c r="AI721" s="29"/>
      <c r="AS721" s="29"/>
      <c r="AU721" s="29"/>
      <c r="AV721" s="29"/>
      <c r="AX721" s="29"/>
      <c r="BC721" s="29"/>
      <c r="BD721" s="29"/>
    </row>
    <row r="722">
      <c r="B722" s="70"/>
      <c r="C722" s="70"/>
      <c r="D722" s="70"/>
      <c r="E722" s="70"/>
      <c r="AF722" s="29"/>
      <c r="AH722" s="29"/>
      <c r="AI722" s="29"/>
      <c r="AS722" s="29"/>
      <c r="AU722" s="29"/>
      <c r="AV722" s="29"/>
      <c r="AX722" s="29"/>
      <c r="BC722" s="29"/>
      <c r="BD722" s="29"/>
    </row>
    <row r="723">
      <c r="B723" s="70"/>
      <c r="C723" s="70"/>
      <c r="D723" s="70"/>
      <c r="E723" s="70"/>
      <c r="AF723" s="29"/>
      <c r="AH723" s="29"/>
      <c r="AI723" s="29"/>
      <c r="AS723" s="29"/>
      <c r="AU723" s="29"/>
      <c r="AV723" s="29"/>
      <c r="AX723" s="29"/>
      <c r="BC723" s="29"/>
      <c r="BD723" s="29"/>
    </row>
    <row r="724">
      <c r="B724" s="70"/>
      <c r="C724" s="70"/>
      <c r="D724" s="70"/>
      <c r="E724" s="70"/>
      <c r="AF724" s="29"/>
      <c r="AH724" s="29"/>
      <c r="AI724" s="29"/>
      <c r="AS724" s="29"/>
      <c r="AU724" s="29"/>
      <c r="AV724" s="29"/>
      <c r="AX724" s="29"/>
      <c r="BC724" s="29"/>
      <c r="BD724" s="29"/>
    </row>
    <row r="725">
      <c r="B725" s="70"/>
      <c r="C725" s="70"/>
      <c r="D725" s="70"/>
      <c r="E725" s="70"/>
      <c r="AF725" s="29"/>
      <c r="AH725" s="29"/>
      <c r="AI725" s="29"/>
      <c r="AS725" s="29"/>
      <c r="AU725" s="29"/>
      <c r="AV725" s="29"/>
      <c r="AX725" s="29"/>
      <c r="BC725" s="29"/>
      <c r="BD725" s="29"/>
    </row>
    <row r="726">
      <c r="B726" s="70"/>
      <c r="C726" s="70"/>
      <c r="D726" s="70"/>
      <c r="E726" s="70"/>
      <c r="AF726" s="29"/>
      <c r="AH726" s="29"/>
      <c r="AI726" s="29"/>
      <c r="AS726" s="29"/>
      <c r="AU726" s="29"/>
      <c r="AV726" s="29"/>
      <c r="AX726" s="29"/>
      <c r="BC726" s="29"/>
      <c r="BD726" s="29"/>
    </row>
    <row r="727">
      <c r="B727" s="70"/>
      <c r="C727" s="70"/>
      <c r="D727" s="70"/>
      <c r="E727" s="70"/>
      <c r="AF727" s="29"/>
      <c r="AH727" s="29"/>
      <c r="AI727" s="29"/>
      <c r="AS727" s="29"/>
      <c r="AU727" s="29"/>
      <c r="AV727" s="29"/>
      <c r="AX727" s="29"/>
      <c r="BC727" s="29"/>
      <c r="BD727" s="29"/>
    </row>
    <row r="728">
      <c r="B728" s="70"/>
      <c r="C728" s="70"/>
      <c r="D728" s="70"/>
      <c r="E728" s="70"/>
      <c r="AF728" s="29"/>
      <c r="AH728" s="29"/>
      <c r="AI728" s="29"/>
      <c r="AS728" s="29"/>
      <c r="AU728" s="29"/>
      <c r="AV728" s="29"/>
      <c r="AX728" s="29"/>
      <c r="BC728" s="29"/>
      <c r="BD728" s="29"/>
    </row>
    <row r="729">
      <c r="B729" s="70"/>
      <c r="C729" s="70"/>
      <c r="D729" s="70"/>
      <c r="E729" s="70"/>
      <c r="AF729" s="29"/>
      <c r="AH729" s="29"/>
      <c r="AI729" s="29"/>
      <c r="AS729" s="29"/>
      <c r="AU729" s="29"/>
      <c r="AV729" s="29"/>
      <c r="AX729" s="29"/>
      <c r="BC729" s="29"/>
      <c r="BD729" s="29"/>
    </row>
    <row r="730">
      <c r="B730" s="70"/>
      <c r="C730" s="70"/>
      <c r="D730" s="70"/>
      <c r="E730" s="70"/>
      <c r="AF730" s="29"/>
      <c r="AH730" s="29"/>
      <c r="AI730" s="29"/>
      <c r="AS730" s="29"/>
      <c r="AU730" s="29"/>
      <c r="AV730" s="29"/>
      <c r="AX730" s="29"/>
      <c r="BC730" s="29"/>
      <c r="BD730" s="29"/>
    </row>
    <row r="731">
      <c r="B731" s="70"/>
      <c r="C731" s="70"/>
      <c r="D731" s="70"/>
      <c r="E731" s="70"/>
      <c r="AF731" s="29"/>
      <c r="AH731" s="29"/>
      <c r="AI731" s="29"/>
      <c r="AS731" s="29"/>
      <c r="AU731" s="29"/>
      <c r="AV731" s="29"/>
      <c r="AX731" s="29"/>
      <c r="BC731" s="29"/>
      <c r="BD731" s="29"/>
    </row>
    <row r="732">
      <c r="B732" s="70"/>
      <c r="C732" s="70"/>
      <c r="D732" s="70"/>
      <c r="E732" s="70"/>
      <c r="AF732" s="29"/>
      <c r="AH732" s="29"/>
      <c r="AI732" s="29"/>
      <c r="AS732" s="29"/>
      <c r="AU732" s="29"/>
      <c r="AV732" s="29"/>
      <c r="AX732" s="29"/>
      <c r="BC732" s="29"/>
      <c r="BD732" s="29"/>
    </row>
    <row r="733">
      <c r="B733" s="70"/>
      <c r="C733" s="70"/>
      <c r="D733" s="70"/>
      <c r="E733" s="70"/>
      <c r="AF733" s="29"/>
      <c r="AH733" s="29"/>
      <c r="AI733" s="29"/>
      <c r="AS733" s="29"/>
      <c r="AU733" s="29"/>
      <c r="AV733" s="29"/>
      <c r="AX733" s="29"/>
      <c r="BC733" s="29"/>
      <c r="BD733" s="29"/>
    </row>
    <row r="734">
      <c r="B734" s="70"/>
      <c r="C734" s="70"/>
      <c r="D734" s="70"/>
      <c r="E734" s="70"/>
      <c r="AF734" s="29"/>
      <c r="AH734" s="29"/>
      <c r="AI734" s="29"/>
      <c r="AS734" s="29"/>
      <c r="AU734" s="29"/>
      <c r="AV734" s="29"/>
      <c r="AX734" s="29"/>
      <c r="BC734" s="29"/>
      <c r="BD734" s="29"/>
    </row>
    <row r="735">
      <c r="B735" s="70"/>
      <c r="C735" s="70"/>
      <c r="D735" s="70"/>
      <c r="E735" s="70"/>
      <c r="AF735" s="29"/>
      <c r="AH735" s="29"/>
      <c r="AI735" s="29"/>
      <c r="AS735" s="29"/>
      <c r="AU735" s="29"/>
      <c r="AV735" s="29"/>
      <c r="AX735" s="29"/>
      <c r="BC735" s="29"/>
      <c r="BD735" s="29"/>
    </row>
    <row r="736">
      <c r="B736" s="70"/>
      <c r="C736" s="70"/>
      <c r="D736" s="70"/>
      <c r="E736" s="70"/>
      <c r="AF736" s="29"/>
      <c r="AH736" s="29"/>
      <c r="AI736" s="29"/>
      <c r="AS736" s="29"/>
      <c r="AU736" s="29"/>
      <c r="AV736" s="29"/>
      <c r="AX736" s="29"/>
      <c r="BC736" s="29"/>
      <c r="BD736" s="29"/>
    </row>
    <row r="737">
      <c r="B737" s="70"/>
      <c r="C737" s="70"/>
      <c r="D737" s="70"/>
      <c r="E737" s="70"/>
      <c r="AF737" s="29"/>
      <c r="AH737" s="29"/>
      <c r="AI737" s="29"/>
      <c r="AS737" s="29"/>
      <c r="AU737" s="29"/>
      <c r="AV737" s="29"/>
      <c r="AX737" s="29"/>
      <c r="BC737" s="29"/>
      <c r="BD737" s="29"/>
    </row>
    <row r="738">
      <c r="B738" s="70"/>
      <c r="C738" s="70"/>
      <c r="D738" s="70"/>
      <c r="E738" s="70"/>
      <c r="AF738" s="29"/>
      <c r="AH738" s="29"/>
      <c r="AI738" s="29"/>
      <c r="AS738" s="29"/>
      <c r="AU738" s="29"/>
      <c r="AV738" s="29"/>
      <c r="AX738" s="29"/>
      <c r="BC738" s="29"/>
      <c r="BD738" s="29"/>
    </row>
    <row r="739">
      <c r="B739" s="70"/>
      <c r="C739" s="70"/>
      <c r="D739" s="70"/>
      <c r="E739" s="70"/>
      <c r="AF739" s="29"/>
      <c r="AH739" s="29"/>
      <c r="AI739" s="29"/>
      <c r="AS739" s="29"/>
      <c r="AU739" s="29"/>
      <c r="AV739" s="29"/>
      <c r="AX739" s="29"/>
      <c r="BC739" s="29"/>
      <c r="BD739" s="29"/>
    </row>
    <row r="740">
      <c r="B740" s="70"/>
      <c r="C740" s="70"/>
      <c r="D740" s="70"/>
      <c r="E740" s="70"/>
      <c r="AF740" s="29"/>
      <c r="AH740" s="29"/>
      <c r="AI740" s="29"/>
      <c r="AS740" s="29"/>
      <c r="AU740" s="29"/>
      <c r="AV740" s="29"/>
      <c r="AX740" s="29"/>
      <c r="BC740" s="29"/>
      <c r="BD740" s="29"/>
    </row>
    <row r="741">
      <c r="B741" s="70"/>
      <c r="C741" s="70"/>
      <c r="D741" s="70"/>
      <c r="E741" s="70"/>
      <c r="AF741" s="29"/>
      <c r="AH741" s="29"/>
      <c r="AI741" s="29"/>
      <c r="AS741" s="29"/>
      <c r="AU741" s="29"/>
      <c r="AV741" s="29"/>
      <c r="AX741" s="29"/>
      <c r="BC741" s="29"/>
      <c r="BD741" s="29"/>
    </row>
    <row r="742">
      <c r="B742" s="70"/>
      <c r="C742" s="70"/>
      <c r="D742" s="70"/>
      <c r="E742" s="70"/>
      <c r="AF742" s="29"/>
      <c r="AH742" s="29"/>
      <c r="AI742" s="29"/>
      <c r="AS742" s="29"/>
      <c r="AU742" s="29"/>
      <c r="AV742" s="29"/>
      <c r="AX742" s="29"/>
      <c r="BC742" s="29"/>
      <c r="BD742" s="29"/>
    </row>
    <row r="743">
      <c r="B743" s="70"/>
      <c r="C743" s="70"/>
      <c r="D743" s="70"/>
      <c r="E743" s="70"/>
      <c r="AF743" s="29"/>
      <c r="AH743" s="29"/>
      <c r="AI743" s="29"/>
      <c r="AS743" s="29"/>
      <c r="AU743" s="29"/>
      <c r="AV743" s="29"/>
      <c r="AX743" s="29"/>
      <c r="BC743" s="29"/>
      <c r="BD743" s="29"/>
    </row>
    <row r="744">
      <c r="B744" s="70"/>
      <c r="C744" s="70"/>
      <c r="D744" s="70"/>
      <c r="E744" s="70"/>
      <c r="AF744" s="29"/>
      <c r="AH744" s="29"/>
      <c r="AI744" s="29"/>
      <c r="AS744" s="29"/>
      <c r="AU744" s="29"/>
      <c r="AV744" s="29"/>
      <c r="AX744" s="29"/>
      <c r="BC744" s="29"/>
      <c r="BD744" s="29"/>
    </row>
    <row r="745">
      <c r="B745" s="70"/>
      <c r="C745" s="70"/>
      <c r="D745" s="70"/>
      <c r="E745" s="70"/>
      <c r="AF745" s="29"/>
      <c r="AH745" s="29"/>
      <c r="AI745" s="29"/>
      <c r="AS745" s="29"/>
      <c r="AU745" s="29"/>
      <c r="AV745" s="29"/>
      <c r="AX745" s="29"/>
      <c r="BC745" s="29"/>
      <c r="BD745" s="29"/>
    </row>
    <row r="746">
      <c r="B746" s="70"/>
      <c r="C746" s="70"/>
      <c r="D746" s="70"/>
      <c r="E746" s="70"/>
      <c r="AF746" s="29"/>
      <c r="AH746" s="29"/>
      <c r="AI746" s="29"/>
      <c r="AS746" s="29"/>
      <c r="AU746" s="29"/>
      <c r="AV746" s="29"/>
      <c r="AX746" s="29"/>
      <c r="BC746" s="29"/>
      <c r="BD746" s="29"/>
    </row>
    <row r="747">
      <c r="B747" s="70"/>
      <c r="C747" s="70"/>
      <c r="D747" s="70"/>
      <c r="E747" s="70"/>
      <c r="AF747" s="29"/>
      <c r="AH747" s="29"/>
      <c r="AI747" s="29"/>
      <c r="AS747" s="29"/>
      <c r="AU747" s="29"/>
      <c r="AV747" s="29"/>
      <c r="AX747" s="29"/>
      <c r="BC747" s="29"/>
      <c r="BD747" s="29"/>
    </row>
    <row r="748">
      <c r="B748" s="70"/>
      <c r="C748" s="70"/>
      <c r="D748" s="70"/>
      <c r="E748" s="70"/>
      <c r="AF748" s="29"/>
      <c r="AH748" s="29"/>
      <c r="AI748" s="29"/>
      <c r="AS748" s="29"/>
      <c r="AU748" s="29"/>
      <c r="AV748" s="29"/>
      <c r="AX748" s="29"/>
      <c r="BC748" s="29"/>
      <c r="BD748" s="29"/>
    </row>
    <row r="749">
      <c r="B749" s="70"/>
      <c r="C749" s="70"/>
      <c r="D749" s="70"/>
      <c r="E749" s="70"/>
      <c r="AF749" s="29"/>
      <c r="AH749" s="29"/>
      <c r="AI749" s="29"/>
      <c r="AS749" s="29"/>
      <c r="AU749" s="29"/>
      <c r="AV749" s="29"/>
      <c r="AX749" s="29"/>
      <c r="BC749" s="29"/>
      <c r="BD749" s="29"/>
    </row>
    <row r="750">
      <c r="B750" s="70"/>
      <c r="C750" s="70"/>
      <c r="D750" s="70"/>
      <c r="E750" s="70"/>
      <c r="AF750" s="29"/>
      <c r="AH750" s="29"/>
      <c r="AI750" s="29"/>
      <c r="AS750" s="29"/>
      <c r="AU750" s="29"/>
      <c r="AV750" s="29"/>
      <c r="AX750" s="29"/>
      <c r="BC750" s="29"/>
      <c r="BD750" s="29"/>
    </row>
    <row r="751">
      <c r="B751" s="70"/>
      <c r="C751" s="70"/>
      <c r="D751" s="70"/>
      <c r="E751" s="70"/>
      <c r="AF751" s="29"/>
      <c r="AH751" s="29"/>
      <c r="AI751" s="29"/>
      <c r="AS751" s="29"/>
      <c r="AU751" s="29"/>
      <c r="AV751" s="29"/>
      <c r="AX751" s="29"/>
      <c r="BC751" s="29"/>
      <c r="BD751" s="29"/>
    </row>
    <row r="752">
      <c r="B752" s="70"/>
      <c r="C752" s="70"/>
      <c r="D752" s="70"/>
      <c r="E752" s="70"/>
      <c r="AF752" s="29"/>
      <c r="AH752" s="29"/>
      <c r="AI752" s="29"/>
      <c r="AS752" s="29"/>
      <c r="AU752" s="29"/>
      <c r="AV752" s="29"/>
      <c r="AX752" s="29"/>
      <c r="BC752" s="29"/>
      <c r="BD752" s="29"/>
    </row>
    <row r="753">
      <c r="B753" s="70"/>
      <c r="C753" s="70"/>
      <c r="D753" s="70"/>
      <c r="E753" s="70"/>
      <c r="AF753" s="29"/>
      <c r="AH753" s="29"/>
      <c r="AI753" s="29"/>
      <c r="AS753" s="29"/>
      <c r="AU753" s="29"/>
      <c r="AV753" s="29"/>
      <c r="AX753" s="29"/>
      <c r="BC753" s="29"/>
      <c r="BD753" s="29"/>
    </row>
    <row r="754">
      <c r="B754" s="70"/>
      <c r="C754" s="70"/>
      <c r="D754" s="70"/>
      <c r="E754" s="70"/>
      <c r="AF754" s="29"/>
      <c r="AH754" s="29"/>
      <c r="AI754" s="29"/>
      <c r="AS754" s="29"/>
      <c r="AU754" s="29"/>
      <c r="AV754" s="29"/>
      <c r="AX754" s="29"/>
      <c r="BC754" s="29"/>
      <c r="BD754" s="29"/>
    </row>
    <row r="755">
      <c r="B755" s="70"/>
      <c r="C755" s="70"/>
      <c r="D755" s="70"/>
      <c r="E755" s="70"/>
      <c r="AF755" s="29"/>
      <c r="AH755" s="29"/>
      <c r="AI755" s="29"/>
      <c r="AS755" s="29"/>
      <c r="AU755" s="29"/>
      <c r="AV755" s="29"/>
      <c r="AX755" s="29"/>
      <c r="BC755" s="29"/>
      <c r="BD755" s="29"/>
    </row>
    <row r="756">
      <c r="B756" s="70"/>
      <c r="C756" s="70"/>
      <c r="D756" s="70"/>
      <c r="E756" s="70"/>
      <c r="AF756" s="29"/>
      <c r="AH756" s="29"/>
      <c r="AI756" s="29"/>
      <c r="AS756" s="29"/>
      <c r="AU756" s="29"/>
      <c r="AV756" s="29"/>
      <c r="AX756" s="29"/>
      <c r="BC756" s="29"/>
      <c r="BD756" s="29"/>
    </row>
    <row r="757">
      <c r="B757" s="70"/>
      <c r="C757" s="70"/>
      <c r="D757" s="70"/>
      <c r="E757" s="70"/>
      <c r="AF757" s="29"/>
      <c r="AH757" s="29"/>
      <c r="AI757" s="29"/>
      <c r="AS757" s="29"/>
      <c r="AU757" s="29"/>
      <c r="AV757" s="29"/>
      <c r="AX757" s="29"/>
      <c r="BC757" s="29"/>
      <c r="BD757" s="29"/>
    </row>
    <row r="758">
      <c r="B758" s="70"/>
      <c r="C758" s="70"/>
      <c r="D758" s="70"/>
      <c r="E758" s="70"/>
      <c r="AF758" s="29"/>
      <c r="AH758" s="29"/>
      <c r="AI758" s="29"/>
      <c r="AS758" s="29"/>
      <c r="AU758" s="29"/>
      <c r="AV758" s="29"/>
      <c r="AX758" s="29"/>
      <c r="BC758" s="29"/>
      <c r="BD758" s="29"/>
    </row>
    <row r="759">
      <c r="B759" s="70"/>
      <c r="C759" s="70"/>
      <c r="D759" s="70"/>
      <c r="E759" s="70"/>
      <c r="AF759" s="29"/>
      <c r="AH759" s="29"/>
      <c r="AI759" s="29"/>
      <c r="AS759" s="29"/>
      <c r="AU759" s="29"/>
      <c r="AV759" s="29"/>
      <c r="AX759" s="29"/>
      <c r="BC759" s="29"/>
      <c r="BD759" s="29"/>
    </row>
    <row r="760">
      <c r="B760" s="70"/>
      <c r="C760" s="70"/>
      <c r="D760" s="70"/>
      <c r="E760" s="70"/>
      <c r="AF760" s="29"/>
      <c r="AH760" s="29"/>
      <c r="AI760" s="29"/>
      <c r="AS760" s="29"/>
      <c r="AU760" s="29"/>
      <c r="AV760" s="29"/>
      <c r="AX760" s="29"/>
      <c r="BC760" s="29"/>
      <c r="BD760" s="29"/>
    </row>
    <row r="761">
      <c r="B761" s="70"/>
      <c r="C761" s="70"/>
      <c r="D761" s="70"/>
      <c r="E761" s="70"/>
      <c r="AF761" s="29"/>
      <c r="AH761" s="29"/>
      <c r="AI761" s="29"/>
      <c r="AS761" s="29"/>
      <c r="AU761" s="29"/>
      <c r="AV761" s="29"/>
      <c r="AX761" s="29"/>
      <c r="BC761" s="29"/>
      <c r="BD761" s="29"/>
    </row>
    <row r="762">
      <c r="B762" s="70"/>
      <c r="C762" s="70"/>
      <c r="D762" s="70"/>
      <c r="E762" s="70"/>
      <c r="AF762" s="29"/>
      <c r="AH762" s="29"/>
      <c r="AI762" s="29"/>
      <c r="AS762" s="29"/>
      <c r="AU762" s="29"/>
      <c r="AV762" s="29"/>
      <c r="AX762" s="29"/>
      <c r="BC762" s="29"/>
      <c r="BD762" s="29"/>
    </row>
    <row r="763">
      <c r="B763" s="70"/>
      <c r="C763" s="70"/>
      <c r="D763" s="70"/>
      <c r="E763" s="70"/>
      <c r="AF763" s="29"/>
      <c r="AH763" s="29"/>
      <c r="AI763" s="29"/>
      <c r="AS763" s="29"/>
      <c r="AU763" s="29"/>
      <c r="AV763" s="29"/>
      <c r="AX763" s="29"/>
      <c r="BC763" s="29"/>
      <c r="BD763" s="29"/>
    </row>
    <row r="764">
      <c r="B764" s="70"/>
      <c r="C764" s="70"/>
      <c r="D764" s="70"/>
      <c r="E764" s="70"/>
      <c r="AF764" s="29"/>
      <c r="AH764" s="29"/>
      <c r="AI764" s="29"/>
      <c r="AS764" s="29"/>
      <c r="AU764" s="29"/>
      <c r="AV764" s="29"/>
      <c r="AX764" s="29"/>
      <c r="BC764" s="29"/>
      <c r="BD764" s="29"/>
    </row>
    <row r="765">
      <c r="B765" s="70"/>
      <c r="C765" s="70"/>
      <c r="D765" s="70"/>
      <c r="E765" s="70"/>
      <c r="AF765" s="29"/>
      <c r="AH765" s="29"/>
      <c r="AI765" s="29"/>
      <c r="AS765" s="29"/>
      <c r="AU765" s="29"/>
      <c r="AV765" s="29"/>
      <c r="AX765" s="29"/>
      <c r="BC765" s="29"/>
      <c r="BD765" s="29"/>
    </row>
    <row r="766">
      <c r="B766" s="70"/>
      <c r="C766" s="70"/>
      <c r="D766" s="70"/>
      <c r="E766" s="70"/>
      <c r="AF766" s="29"/>
      <c r="AH766" s="29"/>
      <c r="AI766" s="29"/>
      <c r="AS766" s="29"/>
      <c r="AU766" s="29"/>
      <c r="AV766" s="29"/>
      <c r="AX766" s="29"/>
      <c r="BC766" s="29"/>
      <c r="BD766" s="29"/>
    </row>
    <row r="767">
      <c r="B767" s="70"/>
      <c r="C767" s="70"/>
      <c r="D767" s="70"/>
      <c r="E767" s="70"/>
      <c r="AF767" s="29"/>
      <c r="AH767" s="29"/>
      <c r="AI767" s="29"/>
      <c r="AS767" s="29"/>
      <c r="AU767" s="29"/>
      <c r="AV767" s="29"/>
      <c r="AX767" s="29"/>
      <c r="BC767" s="29"/>
      <c r="BD767" s="29"/>
    </row>
    <row r="768">
      <c r="B768" s="70"/>
      <c r="C768" s="70"/>
      <c r="D768" s="70"/>
      <c r="E768" s="70"/>
      <c r="AF768" s="29"/>
      <c r="AH768" s="29"/>
      <c r="AI768" s="29"/>
      <c r="AS768" s="29"/>
      <c r="AU768" s="29"/>
      <c r="AV768" s="29"/>
      <c r="AX768" s="29"/>
      <c r="BC768" s="29"/>
      <c r="BD768" s="29"/>
    </row>
    <row r="769">
      <c r="B769" s="70"/>
      <c r="C769" s="70"/>
      <c r="D769" s="70"/>
      <c r="E769" s="70"/>
      <c r="AF769" s="29"/>
      <c r="AH769" s="29"/>
      <c r="AI769" s="29"/>
      <c r="AS769" s="29"/>
      <c r="AU769" s="29"/>
      <c r="AV769" s="29"/>
      <c r="AX769" s="29"/>
      <c r="BC769" s="29"/>
      <c r="BD769" s="29"/>
    </row>
    <row r="770">
      <c r="B770" s="70"/>
      <c r="C770" s="70"/>
      <c r="D770" s="70"/>
      <c r="E770" s="70"/>
      <c r="AF770" s="29"/>
      <c r="AH770" s="29"/>
      <c r="AI770" s="29"/>
      <c r="AS770" s="29"/>
      <c r="AU770" s="29"/>
      <c r="AV770" s="29"/>
      <c r="AX770" s="29"/>
      <c r="BC770" s="29"/>
      <c r="BD770" s="29"/>
    </row>
    <row r="771">
      <c r="B771" s="70"/>
      <c r="C771" s="70"/>
      <c r="D771" s="70"/>
      <c r="E771" s="70"/>
      <c r="AF771" s="29"/>
      <c r="AH771" s="29"/>
      <c r="AI771" s="29"/>
      <c r="AS771" s="29"/>
      <c r="AU771" s="29"/>
      <c r="AV771" s="29"/>
      <c r="AX771" s="29"/>
      <c r="BC771" s="29"/>
      <c r="BD771" s="29"/>
    </row>
    <row r="772">
      <c r="B772" s="70"/>
      <c r="C772" s="70"/>
      <c r="D772" s="70"/>
      <c r="E772" s="70"/>
      <c r="AF772" s="29"/>
      <c r="AH772" s="29"/>
      <c r="AI772" s="29"/>
      <c r="AS772" s="29"/>
      <c r="AU772" s="29"/>
      <c r="AV772" s="29"/>
      <c r="AX772" s="29"/>
      <c r="BC772" s="29"/>
      <c r="BD772" s="29"/>
    </row>
    <row r="773">
      <c r="B773" s="70"/>
      <c r="C773" s="70"/>
      <c r="D773" s="70"/>
      <c r="E773" s="70"/>
      <c r="AF773" s="29"/>
      <c r="AH773" s="29"/>
      <c r="AI773" s="29"/>
      <c r="AS773" s="29"/>
      <c r="AU773" s="29"/>
      <c r="AV773" s="29"/>
      <c r="AX773" s="29"/>
      <c r="BC773" s="29"/>
      <c r="BD773" s="29"/>
    </row>
    <row r="774">
      <c r="B774" s="70"/>
      <c r="C774" s="70"/>
      <c r="D774" s="70"/>
      <c r="E774" s="70"/>
      <c r="AF774" s="29"/>
      <c r="AH774" s="29"/>
      <c r="AI774" s="29"/>
      <c r="AS774" s="29"/>
      <c r="AU774" s="29"/>
      <c r="AV774" s="29"/>
      <c r="AX774" s="29"/>
      <c r="BC774" s="29"/>
      <c r="BD774" s="29"/>
    </row>
    <row r="775">
      <c r="B775" s="70"/>
      <c r="C775" s="70"/>
      <c r="D775" s="70"/>
      <c r="E775" s="70"/>
      <c r="AF775" s="29"/>
      <c r="AH775" s="29"/>
      <c r="AI775" s="29"/>
      <c r="AS775" s="29"/>
      <c r="AU775" s="29"/>
      <c r="AV775" s="29"/>
      <c r="AX775" s="29"/>
      <c r="BC775" s="29"/>
      <c r="BD775" s="29"/>
    </row>
    <row r="776">
      <c r="B776" s="70"/>
      <c r="C776" s="70"/>
      <c r="D776" s="70"/>
      <c r="E776" s="70"/>
      <c r="AF776" s="29"/>
      <c r="AH776" s="29"/>
      <c r="AI776" s="29"/>
      <c r="AS776" s="29"/>
      <c r="AU776" s="29"/>
      <c r="AV776" s="29"/>
      <c r="AX776" s="29"/>
      <c r="BC776" s="29"/>
      <c r="BD776" s="29"/>
    </row>
    <row r="777">
      <c r="B777" s="70"/>
      <c r="C777" s="70"/>
      <c r="D777" s="70"/>
      <c r="E777" s="70"/>
      <c r="AF777" s="29"/>
      <c r="AH777" s="29"/>
      <c r="AI777" s="29"/>
      <c r="AS777" s="29"/>
      <c r="AU777" s="29"/>
      <c r="AV777" s="29"/>
      <c r="AX777" s="29"/>
      <c r="BC777" s="29"/>
      <c r="BD777" s="29"/>
    </row>
    <row r="778">
      <c r="B778" s="70"/>
      <c r="C778" s="70"/>
      <c r="D778" s="70"/>
      <c r="E778" s="70"/>
      <c r="AF778" s="29"/>
      <c r="AH778" s="29"/>
      <c r="AI778" s="29"/>
      <c r="AS778" s="29"/>
      <c r="AU778" s="29"/>
      <c r="AV778" s="29"/>
      <c r="AX778" s="29"/>
      <c r="BC778" s="29"/>
      <c r="BD778" s="29"/>
    </row>
    <row r="779">
      <c r="B779" s="70"/>
      <c r="C779" s="70"/>
      <c r="D779" s="70"/>
      <c r="E779" s="70"/>
      <c r="AF779" s="29"/>
      <c r="AH779" s="29"/>
      <c r="AI779" s="29"/>
      <c r="AS779" s="29"/>
      <c r="AU779" s="29"/>
      <c r="AV779" s="29"/>
      <c r="AX779" s="29"/>
      <c r="BC779" s="29"/>
      <c r="BD779" s="29"/>
    </row>
    <row r="780">
      <c r="B780" s="70"/>
      <c r="C780" s="70"/>
      <c r="D780" s="70"/>
      <c r="E780" s="70"/>
      <c r="AF780" s="29"/>
      <c r="AH780" s="29"/>
      <c r="AI780" s="29"/>
      <c r="AS780" s="29"/>
      <c r="AU780" s="29"/>
      <c r="AV780" s="29"/>
      <c r="AX780" s="29"/>
      <c r="BC780" s="29"/>
      <c r="BD780" s="29"/>
    </row>
    <row r="781">
      <c r="B781" s="70"/>
      <c r="C781" s="70"/>
      <c r="D781" s="70"/>
      <c r="E781" s="70"/>
      <c r="AF781" s="29"/>
      <c r="AH781" s="29"/>
      <c r="AI781" s="29"/>
      <c r="AS781" s="29"/>
      <c r="AU781" s="29"/>
      <c r="AV781" s="29"/>
      <c r="AX781" s="29"/>
      <c r="BC781" s="29"/>
      <c r="BD781" s="29"/>
    </row>
    <row r="782">
      <c r="B782" s="70"/>
      <c r="C782" s="70"/>
      <c r="D782" s="70"/>
      <c r="E782" s="70"/>
      <c r="AF782" s="29"/>
      <c r="AH782" s="29"/>
      <c r="AI782" s="29"/>
      <c r="AS782" s="29"/>
      <c r="AU782" s="29"/>
      <c r="AV782" s="29"/>
      <c r="AX782" s="29"/>
      <c r="BC782" s="29"/>
      <c r="BD782" s="29"/>
    </row>
    <row r="783">
      <c r="B783" s="70"/>
      <c r="C783" s="70"/>
      <c r="D783" s="70"/>
      <c r="E783" s="70"/>
      <c r="AF783" s="29"/>
      <c r="AH783" s="29"/>
      <c r="AI783" s="29"/>
      <c r="AS783" s="29"/>
      <c r="AU783" s="29"/>
      <c r="AV783" s="29"/>
      <c r="AX783" s="29"/>
      <c r="BC783" s="29"/>
      <c r="BD783" s="29"/>
    </row>
    <row r="784">
      <c r="B784" s="70"/>
      <c r="C784" s="70"/>
      <c r="D784" s="70"/>
      <c r="E784" s="70"/>
      <c r="AF784" s="29"/>
      <c r="AH784" s="29"/>
      <c r="AI784" s="29"/>
      <c r="AS784" s="29"/>
      <c r="AU784" s="29"/>
      <c r="AV784" s="29"/>
      <c r="AX784" s="29"/>
      <c r="BC784" s="29"/>
      <c r="BD784" s="29"/>
    </row>
    <row r="785">
      <c r="B785" s="70"/>
      <c r="C785" s="70"/>
      <c r="D785" s="70"/>
      <c r="E785" s="70"/>
      <c r="AF785" s="29"/>
      <c r="AH785" s="29"/>
      <c r="AI785" s="29"/>
      <c r="AS785" s="29"/>
      <c r="AU785" s="29"/>
      <c r="AV785" s="29"/>
      <c r="AX785" s="29"/>
      <c r="BC785" s="29"/>
      <c r="BD785" s="29"/>
    </row>
    <row r="786">
      <c r="B786" s="70"/>
      <c r="C786" s="70"/>
      <c r="D786" s="70"/>
      <c r="E786" s="70"/>
      <c r="AF786" s="29"/>
      <c r="AH786" s="29"/>
      <c r="AI786" s="29"/>
      <c r="AS786" s="29"/>
      <c r="AU786" s="29"/>
      <c r="AV786" s="29"/>
      <c r="AX786" s="29"/>
      <c r="BC786" s="29"/>
      <c r="BD786" s="29"/>
    </row>
    <row r="787">
      <c r="B787" s="70"/>
      <c r="C787" s="70"/>
      <c r="D787" s="70"/>
      <c r="E787" s="70"/>
      <c r="AF787" s="29"/>
      <c r="AH787" s="29"/>
      <c r="AI787" s="29"/>
      <c r="AS787" s="29"/>
      <c r="AU787" s="29"/>
      <c r="AV787" s="29"/>
      <c r="AX787" s="29"/>
      <c r="BC787" s="29"/>
      <c r="BD787" s="29"/>
    </row>
    <row r="788">
      <c r="B788" s="70"/>
      <c r="C788" s="70"/>
      <c r="D788" s="70"/>
      <c r="E788" s="70"/>
      <c r="AF788" s="29"/>
      <c r="AH788" s="29"/>
      <c r="AI788" s="29"/>
      <c r="AS788" s="29"/>
      <c r="AU788" s="29"/>
      <c r="AV788" s="29"/>
      <c r="AX788" s="29"/>
      <c r="BC788" s="29"/>
      <c r="BD788" s="29"/>
    </row>
    <row r="789">
      <c r="B789" s="70"/>
      <c r="C789" s="70"/>
      <c r="D789" s="70"/>
      <c r="E789" s="70"/>
      <c r="AF789" s="29"/>
      <c r="AH789" s="29"/>
      <c r="AI789" s="29"/>
      <c r="AS789" s="29"/>
      <c r="AU789" s="29"/>
      <c r="AV789" s="29"/>
      <c r="AX789" s="29"/>
      <c r="BC789" s="29"/>
      <c r="BD789" s="29"/>
    </row>
    <row r="790">
      <c r="B790" s="70"/>
      <c r="C790" s="70"/>
      <c r="D790" s="70"/>
      <c r="E790" s="70"/>
      <c r="AF790" s="29"/>
      <c r="AH790" s="29"/>
      <c r="AI790" s="29"/>
      <c r="AS790" s="29"/>
      <c r="AU790" s="29"/>
      <c r="AV790" s="29"/>
      <c r="AX790" s="29"/>
      <c r="BC790" s="29"/>
      <c r="BD790" s="29"/>
    </row>
    <row r="791">
      <c r="B791" s="70"/>
      <c r="C791" s="70"/>
      <c r="D791" s="70"/>
      <c r="E791" s="70"/>
      <c r="AF791" s="29"/>
      <c r="AH791" s="29"/>
      <c r="AI791" s="29"/>
      <c r="AS791" s="29"/>
      <c r="AU791" s="29"/>
      <c r="AV791" s="29"/>
      <c r="AX791" s="29"/>
      <c r="BC791" s="29"/>
      <c r="BD791" s="29"/>
    </row>
    <row r="792">
      <c r="B792" s="70"/>
      <c r="C792" s="70"/>
      <c r="D792" s="70"/>
      <c r="E792" s="70"/>
      <c r="AF792" s="29"/>
      <c r="AH792" s="29"/>
      <c r="AI792" s="29"/>
      <c r="AS792" s="29"/>
      <c r="AU792" s="29"/>
      <c r="AV792" s="29"/>
      <c r="AX792" s="29"/>
      <c r="BC792" s="29"/>
      <c r="BD792" s="29"/>
    </row>
    <row r="793">
      <c r="B793" s="70"/>
      <c r="C793" s="70"/>
      <c r="D793" s="70"/>
      <c r="E793" s="70"/>
      <c r="AF793" s="29"/>
      <c r="AH793" s="29"/>
      <c r="AI793" s="29"/>
      <c r="AS793" s="29"/>
      <c r="AU793" s="29"/>
      <c r="AV793" s="29"/>
      <c r="AX793" s="29"/>
      <c r="BC793" s="29"/>
      <c r="BD793" s="29"/>
    </row>
    <row r="794">
      <c r="B794" s="70"/>
      <c r="C794" s="70"/>
      <c r="D794" s="70"/>
      <c r="E794" s="70"/>
      <c r="AF794" s="29"/>
      <c r="AH794" s="29"/>
      <c r="AI794" s="29"/>
      <c r="AS794" s="29"/>
      <c r="AU794" s="29"/>
      <c r="AV794" s="29"/>
      <c r="AX794" s="29"/>
      <c r="BC794" s="29"/>
      <c r="BD794" s="29"/>
    </row>
    <row r="795">
      <c r="B795" s="70"/>
      <c r="C795" s="70"/>
      <c r="D795" s="70"/>
      <c r="E795" s="70"/>
      <c r="AF795" s="29"/>
      <c r="AH795" s="29"/>
      <c r="AI795" s="29"/>
      <c r="AS795" s="29"/>
      <c r="AU795" s="29"/>
      <c r="AV795" s="29"/>
      <c r="AX795" s="29"/>
      <c r="BC795" s="29"/>
      <c r="BD795" s="29"/>
    </row>
    <row r="796">
      <c r="B796" s="70"/>
      <c r="C796" s="70"/>
      <c r="D796" s="70"/>
      <c r="E796" s="70"/>
      <c r="AF796" s="29"/>
      <c r="AH796" s="29"/>
      <c r="AI796" s="29"/>
      <c r="AS796" s="29"/>
      <c r="AU796" s="29"/>
      <c r="AV796" s="29"/>
      <c r="AX796" s="29"/>
      <c r="BC796" s="29"/>
      <c r="BD796" s="29"/>
    </row>
    <row r="797">
      <c r="B797" s="70"/>
      <c r="C797" s="70"/>
      <c r="D797" s="70"/>
      <c r="E797" s="70"/>
      <c r="AF797" s="29"/>
      <c r="AH797" s="29"/>
      <c r="AI797" s="29"/>
      <c r="AS797" s="29"/>
      <c r="AU797" s="29"/>
      <c r="AV797" s="29"/>
      <c r="AX797" s="29"/>
      <c r="BC797" s="29"/>
      <c r="BD797" s="29"/>
    </row>
    <row r="798">
      <c r="B798" s="70"/>
      <c r="C798" s="70"/>
      <c r="D798" s="70"/>
      <c r="E798" s="70"/>
      <c r="AF798" s="29"/>
      <c r="AH798" s="29"/>
      <c r="AI798" s="29"/>
      <c r="AS798" s="29"/>
      <c r="AU798" s="29"/>
      <c r="AV798" s="29"/>
      <c r="AX798" s="29"/>
      <c r="BC798" s="29"/>
      <c r="BD798" s="29"/>
    </row>
    <row r="799">
      <c r="B799" s="70"/>
      <c r="C799" s="70"/>
      <c r="D799" s="70"/>
      <c r="E799" s="70"/>
      <c r="AF799" s="29"/>
      <c r="AH799" s="29"/>
      <c r="AI799" s="29"/>
      <c r="AS799" s="29"/>
      <c r="AU799" s="29"/>
      <c r="AV799" s="29"/>
      <c r="AX799" s="29"/>
      <c r="BC799" s="29"/>
      <c r="BD799" s="29"/>
    </row>
    <row r="800">
      <c r="B800" s="70"/>
      <c r="C800" s="70"/>
      <c r="D800" s="70"/>
      <c r="E800" s="70"/>
      <c r="AF800" s="29"/>
      <c r="AH800" s="29"/>
      <c r="AI800" s="29"/>
      <c r="AS800" s="29"/>
      <c r="AU800" s="29"/>
      <c r="AV800" s="29"/>
      <c r="AX800" s="29"/>
      <c r="BC800" s="29"/>
      <c r="BD800" s="29"/>
    </row>
    <row r="801">
      <c r="B801" s="70"/>
      <c r="C801" s="70"/>
      <c r="D801" s="70"/>
      <c r="E801" s="70"/>
      <c r="AF801" s="29"/>
      <c r="AH801" s="29"/>
      <c r="AI801" s="29"/>
      <c r="AS801" s="29"/>
      <c r="AU801" s="29"/>
      <c r="AV801" s="29"/>
      <c r="AX801" s="29"/>
      <c r="BC801" s="29"/>
      <c r="BD801" s="29"/>
    </row>
    <row r="802">
      <c r="B802" s="70"/>
      <c r="C802" s="70"/>
      <c r="D802" s="70"/>
      <c r="E802" s="70"/>
      <c r="AF802" s="29"/>
      <c r="AH802" s="29"/>
      <c r="AI802" s="29"/>
      <c r="AS802" s="29"/>
      <c r="AU802" s="29"/>
      <c r="AV802" s="29"/>
      <c r="AX802" s="29"/>
      <c r="BC802" s="29"/>
      <c r="BD802" s="29"/>
    </row>
    <row r="803">
      <c r="B803" s="70"/>
      <c r="C803" s="70"/>
      <c r="D803" s="70"/>
      <c r="E803" s="70"/>
      <c r="AF803" s="29"/>
      <c r="AH803" s="29"/>
      <c r="AI803" s="29"/>
      <c r="AS803" s="29"/>
      <c r="AU803" s="29"/>
      <c r="AV803" s="29"/>
      <c r="AX803" s="29"/>
      <c r="BC803" s="29"/>
      <c r="BD803" s="29"/>
    </row>
    <row r="804">
      <c r="B804" s="70"/>
      <c r="C804" s="70"/>
      <c r="D804" s="70"/>
      <c r="E804" s="70"/>
      <c r="AF804" s="29"/>
      <c r="AH804" s="29"/>
      <c r="AI804" s="29"/>
      <c r="AS804" s="29"/>
      <c r="AU804" s="29"/>
      <c r="AV804" s="29"/>
      <c r="AX804" s="29"/>
      <c r="BC804" s="29"/>
      <c r="BD804" s="29"/>
    </row>
    <row r="805">
      <c r="B805" s="70"/>
      <c r="C805" s="70"/>
      <c r="D805" s="70"/>
      <c r="E805" s="70"/>
      <c r="AF805" s="29"/>
      <c r="AH805" s="29"/>
      <c r="AI805" s="29"/>
      <c r="AS805" s="29"/>
      <c r="AU805" s="29"/>
      <c r="AV805" s="29"/>
      <c r="AX805" s="29"/>
      <c r="BC805" s="29"/>
      <c r="BD805" s="29"/>
    </row>
    <row r="806">
      <c r="B806" s="70"/>
      <c r="C806" s="70"/>
      <c r="D806" s="70"/>
      <c r="E806" s="70"/>
      <c r="AF806" s="29"/>
      <c r="AH806" s="29"/>
      <c r="AI806" s="29"/>
      <c r="AS806" s="29"/>
      <c r="AU806" s="29"/>
      <c r="AV806" s="29"/>
      <c r="AX806" s="29"/>
      <c r="BC806" s="29"/>
      <c r="BD806" s="29"/>
    </row>
    <row r="807">
      <c r="B807" s="70"/>
      <c r="C807" s="70"/>
      <c r="D807" s="70"/>
      <c r="E807" s="70"/>
      <c r="AF807" s="29"/>
      <c r="AH807" s="29"/>
      <c r="AI807" s="29"/>
      <c r="AS807" s="29"/>
      <c r="AU807" s="29"/>
      <c r="AV807" s="29"/>
      <c r="AX807" s="29"/>
      <c r="BC807" s="29"/>
      <c r="BD807" s="29"/>
    </row>
    <row r="808">
      <c r="B808" s="70"/>
      <c r="C808" s="70"/>
      <c r="D808" s="70"/>
      <c r="E808" s="70"/>
      <c r="AF808" s="29"/>
      <c r="AH808" s="29"/>
      <c r="AI808" s="29"/>
      <c r="AS808" s="29"/>
      <c r="AU808" s="29"/>
      <c r="AV808" s="29"/>
      <c r="AX808" s="29"/>
      <c r="BC808" s="29"/>
      <c r="BD808" s="29"/>
    </row>
    <row r="809">
      <c r="B809" s="70"/>
      <c r="C809" s="70"/>
      <c r="D809" s="70"/>
      <c r="E809" s="70"/>
      <c r="AF809" s="29"/>
      <c r="AH809" s="29"/>
      <c r="AI809" s="29"/>
      <c r="AS809" s="29"/>
      <c r="AU809" s="29"/>
      <c r="AV809" s="29"/>
      <c r="AX809" s="29"/>
      <c r="BC809" s="29"/>
      <c r="BD809" s="29"/>
    </row>
    <row r="810">
      <c r="B810" s="70"/>
      <c r="C810" s="70"/>
      <c r="D810" s="70"/>
      <c r="E810" s="70"/>
      <c r="AF810" s="29"/>
      <c r="AH810" s="29"/>
      <c r="AI810" s="29"/>
      <c r="AS810" s="29"/>
      <c r="AU810" s="29"/>
      <c r="AV810" s="29"/>
      <c r="AX810" s="29"/>
      <c r="BC810" s="29"/>
      <c r="BD810" s="29"/>
    </row>
    <row r="811">
      <c r="B811" s="70"/>
      <c r="C811" s="70"/>
      <c r="D811" s="70"/>
      <c r="E811" s="70"/>
      <c r="AF811" s="29"/>
      <c r="AH811" s="29"/>
      <c r="AI811" s="29"/>
      <c r="AS811" s="29"/>
      <c r="AU811" s="29"/>
      <c r="AV811" s="29"/>
      <c r="AX811" s="29"/>
      <c r="BC811" s="29"/>
      <c r="BD811" s="29"/>
    </row>
    <row r="812">
      <c r="B812" s="70"/>
      <c r="C812" s="70"/>
      <c r="D812" s="70"/>
      <c r="E812" s="70"/>
      <c r="AF812" s="29"/>
      <c r="AH812" s="29"/>
      <c r="AI812" s="29"/>
      <c r="AS812" s="29"/>
      <c r="AU812" s="29"/>
      <c r="AV812" s="29"/>
      <c r="AX812" s="29"/>
      <c r="BC812" s="29"/>
      <c r="BD812" s="29"/>
    </row>
    <row r="813">
      <c r="B813" s="70"/>
      <c r="C813" s="70"/>
      <c r="D813" s="70"/>
      <c r="E813" s="70"/>
      <c r="AF813" s="29"/>
      <c r="AH813" s="29"/>
      <c r="AI813" s="29"/>
      <c r="AS813" s="29"/>
      <c r="AU813" s="29"/>
      <c r="AV813" s="29"/>
      <c r="AX813" s="29"/>
      <c r="BC813" s="29"/>
      <c r="BD813" s="29"/>
    </row>
    <row r="814">
      <c r="B814" s="70"/>
      <c r="C814" s="70"/>
      <c r="D814" s="70"/>
      <c r="E814" s="70"/>
      <c r="AF814" s="29"/>
      <c r="AH814" s="29"/>
      <c r="AI814" s="29"/>
      <c r="AS814" s="29"/>
      <c r="AU814" s="29"/>
      <c r="AV814" s="29"/>
      <c r="AX814" s="29"/>
      <c r="BC814" s="29"/>
      <c r="BD814" s="29"/>
    </row>
    <row r="815">
      <c r="B815" s="70"/>
      <c r="C815" s="70"/>
      <c r="D815" s="70"/>
      <c r="E815" s="70"/>
      <c r="AF815" s="29"/>
      <c r="AH815" s="29"/>
      <c r="AI815" s="29"/>
      <c r="AS815" s="29"/>
      <c r="AU815" s="29"/>
      <c r="AV815" s="29"/>
      <c r="AX815" s="29"/>
      <c r="BC815" s="29"/>
      <c r="BD815" s="29"/>
    </row>
    <row r="816">
      <c r="B816" s="70"/>
      <c r="C816" s="70"/>
      <c r="D816" s="70"/>
      <c r="E816" s="70"/>
      <c r="AF816" s="29"/>
      <c r="AH816" s="29"/>
      <c r="AI816" s="29"/>
      <c r="AS816" s="29"/>
      <c r="AU816" s="29"/>
      <c r="AV816" s="29"/>
      <c r="AX816" s="29"/>
      <c r="BC816" s="29"/>
      <c r="BD816" s="29"/>
    </row>
    <row r="817">
      <c r="B817" s="70"/>
      <c r="C817" s="70"/>
      <c r="D817" s="70"/>
      <c r="E817" s="70"/>
      <c r="AF817" s="29"/>
      <c r="AH817" s="29"/>
      <c r="AI817" s="29"/>
      <c r="AS817" s="29"/>
      <c r="AU817" s="29"/>
      <c r="AV817" s="29"/>
      <c r="AX817" s="29"/>
      <c r="BC817" s="29"/>
      <c r="BD817" s="29"/>
    </row>
    <row r="818">
      <c r="B818" s="70"/>
      <c r="C818" s="70"/>
      <c r="D818" s="70"/>
      <c r="E818" s="70"/>
      <c r="AF818" s="29"/>
      <c r="AH818" s="29"/>
      <c r="AI818" s="29"/>
      <c r="AS818" s="29"/>
      <c r="AU818" s="29"/>
      <c r="AV818" s="29"/>
      <c r="AX818" s="29"/>
      <c r="BC818" s="29"/>
      <c r="BD818" s="29"/>
    </row>
    <row r="819">
      <c r="B819" s="70"/>
      <c r="C819" s="70"/>
      <c r="D819" s="70"/>
      <c r="E819" s="70"/>
      <c r="AF819" s="29"/>
      <c r="AH819" s="29"/>
      <c r="AI819" s="29"/>
      <c r="AS819" s="29"/>
      <c r="AU819" s="29"/>
      <c r="AV819" s="29"/>
      <c r="AX819" s="29"/>
      <c r="BC819" s="29"/>
      <c r="BD819" s="29"/>
    </row>
    <row r="820">
      <c r="B820" s="70"/>
      <c r="C820" s="70"/>
      <c r="D820" s="70"/>
      <c r="E820" s="70"/>
      <c r="AF820" s="29"/>
      <c r="AH820" s="29"/>
      <c r="AI820" s="29"/>
      <c r="AS820" s="29"/>
      <c r="AU820" s="29"/>
      <c r="AV820" s="29"/>
      <c r="AX820" s="29"/>
      <c r="BC820" s="29"/>
      <c r="BD820" s="29"/>
    </row>
    <row r="821">
      <c r="B821" s="70"/>
      <c r="C821" s="70"/>
      <c r="D821" s="70"/>
      <c r="E821" s="70"/>
      <c r="AF821" s="29"/>
      <c r="AH821" s="29"/>
      <c r="AI821" s="29"/>
      <c r="AS821" s="29"/>
      <c r="AU821" s="29"/>
      <c r="AV821" s="29"/>
      <c r="AX821" s="29"/>
      <c r="BC821" s="29"/>
      <c r="BD821" s="29"/>
    </row>
    <row r="822">
      <c r="B822" s="70"/>
      <c r="C822" s="70"/>
      <c r="D822" s="70"/>
      <c r="E822" s="70"/>
      <c r="AF822" s="29"/>
      <c r="AH822" s="29"/>
      <c r="AI822" s="29"/>
      <c r="AS822" s="29"/>
      <c r="AU822" s="29"/>
      <c r="AV822" s="29"/>
      <c r="AX822" s="29"/>
      <c r="BC822" s="29"/>
      <c r="BD822" s="29"/>
    </row>
    <row r="823">
      <c r="B823" s="70"/>
      <c r="C823" s="70"/>
      <c r="D823" s="70"/>
      <c r="E823" s="70"/>
      <c r="AF823" s="29"/>
      <c r="AH823" s="29"/>
      <c r="AI823" s="29"/>
      <c r="AS823" s="29"/>
      <c r="AU823" s="29"/>
      <c r="AV823" s="29"/>
      <c r="AX823" s="29"/>
      <c r="BC823" s="29"/>
      <c r="BD823" s="29"/>
    </row>
    <row r="824">
      <c r="B824" s="70"/>
      <c r="C824" s="70"/>
      <c r="D824" s="70"/>
      <c r="E824" s="70"/>
      <c r="AF824" s="29"/>
      <c r="AH824" s="29"/>
      <c r="AI824" s="29"/>
      <c r="AS824" s="29"/>
      <c r="AU824" s="29"/>
      <c r="AV824" s="29"/>
      <c r="AX824" s="29"/>
      <c r="BC824" s="29"/>
      <c r="BD824" s="29"/>
    </row>
    <row r="825">
      <c r="B825" s="70"/>
      <c r="C825" s="70"/>
      <c r="D825" s="70"/>
      <c r="E825" s="70"/>
      <c r="AF825" s="29"/>
      <c r="AH825" s="29"/>
      <c r="AI825" s="29"/>
      <c r="AS825" s="29"/>
      <c r="AU825" s="29"/>
      <c r="AV825" s="29"/>
      <c r="AX825" s="29"/>
      <c r="BC825" s="29"/>
      <c r="BD825" s="29"/>
    </row>
    <row r="826">
      <c r="B826" s="70"/>
      <c r="C826" s="70"/>
      <c r="D826" s="70"/>
      <c r="E826" s="70"/>
      <c r="AF826" s="29"/>
      <c r="AH826" s="29"/>
      <c r="AI826" s="29"/>
      <c r="AS826" s="29"/>
      <c r="AU826" s="29"/>
      <c r="AV826" s="29"/>
      <c r="AX826" s="29"/>
      <c r="BC826" s="29"/>
      <c r="BD826" s="29"/>
    </row>
    <row r="827">
      <c r="B827" s="70"/>
      <c r="C827" s="70"/>
      <c r="D827" s="70"/>
      <c r="E827" s="70"/>
      <c r="AF827" s="29"/>
      <c r="AH827" s="29"/>
      <c r="AI827" s="29"/>
      <c r="AS827" s="29"/>
      <c r="AU827" s="29"/>
      <c r="AV827" s="29"/>
      <c r="AX827" s="29"/>
      <c r="BC827" s="29"/>
      <c r="BD827" s="29"/>
    </row>
    <row r="828">
      <c r="B828" s="70"/>
      <c r="C828" s="70"/>
      <c r="D828" s="70"/>
      <c r="E828" s="70"/>
      <c r="AF828" s="29"/>
      <c r="AH828" s="29"/>
      <c r="AI828" s="29"/>
      <c r="AS828" s="29"/>
      <c r="AU828" s="29"/>
      <c r="AV828" s="29"/>
      <c r="AX828" s="29"/>
      <c r="BC828" s="29"/>
      <c r="BD828" s="29"/>
    </row>
    <row r="829">
      <c r="B829" s="70"/>
      <c r="C829" s="70"/>
      <c r="D829" s="70"/>
      <c r="E829" s="70"/>
      <c r="AF829" s="29"/>
      <c r="AH829" s="29"/>
      <c r="AI829" s="29"/>
      <c r="AS829" s="29"/>
      <c r="AU829" s="29"/>
      <c r="AV829" s="29"/>
      <c r="AX829" s="29"/>
      <c r="BC829" s="29"/>
      <c r="BD829" s="29"/>
    </row>
    <row r="830">
      <c r="B830" s="70"/>
      <c r="C830" s="70"/>
      <c r="D830" s="70"/>
      <c r="E830" s="70"/>
      <c r="AF830" s="29"/>
      <c r="AH830" s="29"/>
      <c r="AI830" s="29"/>
      <c r="AS830" s="29"/>
      <c r="AU830" s="29"/>
      <c r="AV830" s="29"/>
      <c r="AX830" s="29"/>
      <c r="BC830" s="29"/>
      <c r="BD830" s="29"/>
    </row>
    <row r="831">
      <c r="B831" s="70"/>
      <c r="C831" s="70"/>
      <c r="D831" s="70"/>
      <c r="E831" s="70"/>
      <c r="AF831" s="29"/>
      <c r="AH831" s="29"/>
      <c r="AI831" s="29"/>
      <c r="AS831" s="29"/>
      <c r="AU831" s="29"/>
      <c r="AV831" s="29"/>
      <c r="AX831" s="29"/>
      <c r="BC831" s="29"/>
      <c r="BD831" s="29"/>
    </row>
    <row r="832">
      <c r="B832" s="70"/>
      <c r="C832" s="70"/>
      <c r="D832" s="70"/>
      <c r="E832" s="70"/>
      <c r="AF832" s="29"/>
      <c r="AH832" s="29"/>
      <c r="AI832" s="29"/>
      <c r="AS832" s="29"/>
      <c r="AU832" s="29"/>
      <c r="AV832" s="29"/>
      <c r="AX832" s="29"/>
      <c r="BC832" s="29"/>
      <c r="BD832" s="29"/>
    </row>
    <row r="833">
      <c r="B833" s="70"/>
      <c r="C833" s="70"/>
      <c r="D833" s="70"/>
      <c r="E833" s="70"/>
      <c r="AF833" s="29"/>
      <c r="AH833" s="29"/>
      <c r="AI833" s="29"/>
      <c r="AS833" s="29"/>
      <c r="AU833" s="29"/>
      <c r="AV833" s="29"/>
      <c r="AX833" s="29"/>
      <c r="BC833" s="29"/>
      <c r="BD833" s="29"/>
    </row>
    <row r="834">
      <c r="B834" s="70"/>
      <c r="C834" s="70"/>
      <c r="D834" s="70"/>
      <c r="E834" s="70"/>
      <c r="AF834" s="29"/>
      <c r="AH834" s="29"/>
      <c r="AI834" s="29"/>
      <c r="AS834" s="29"/>
      <c r="AU834" s="29"/>
      <c r="AV834" s="29"/>
      <c r="AX834" s="29"/>
      <c r="BC834" s="29"/>
      <c r="BD834" s="29"/>
    </row>
    <row r="835">
      <c r="B835" s="70"/>
      <c r="C835" s="70"/>
      <c r="D835" s="70"/>
      <c r="E835" s="70"/>
      <c r="AF835" s="29"/>
      <c r="AH835" s="29"/>
      <c r="AI835" s="29"/>
      <c r="AS835" s="29"/>
      <c r="AU835" s="29"/>
      <c r="AV835" s="29"/>
      <c r="AX835" s="29"/>
      <c r="BC835" s="29"/>
      <c r="BD835" s="29"/>
    </row>
    <row r="836">
      <c r="B836" s="70"/>
      <c r="C836" s="70"/>
      <c r="D836" s="70"/>
      <c r="E836" s="70"/>
      <c r="AF836" s="29"/>
      <c r="AH836" s="29"/>
      <c r="AI836" s="29"/>
      <c r="AS836" s="29"/>
      <c r="AU836" s="29"/>
      <c r="AV836" s="29"/>
      <c r="AX836" s="29"/>
      <c r="BC836" s="29"/>
      <c r="BD836" s="29"/>
    </row>
    <row r="837">
      <c r="B837" s="70"/>
      <c r="C837" s="70"/>
      <c r="D837" s="70"/>
      <c r="E837" s="70"/>
      <c r="AF837" s="29"/>
      <c r="AH837" s="29"/>
      <c r="AI837" s="29"/>
      <c r="AS837" s="29"/>
      <c r="AU837" s="29"/>
      <c r="AV837" s="29"/>
      <c r="AX837" s="29"/>
      <c r="BC837" s="29"/>
      <c r="BD837" s="29"/>
    </row>
    <row r="838">
      <c r="B838" s="70"/>
      <c r="C838" s="70"/>
      <c r="D838" s="70"/>
      <c r="E838" s="70"/>
      <c r="AF838" s="29"/>
      <c r="AH838" s="29"/>
      <c r="AI838" s="29"/>
      <c r="AS838" s="29"/>
      <c r="AU838" s="29"/>
      <c r="AV838" s="29"/>
      <c r="AX838" s="29"/>
      <c r="BC838" s="29"/>
      <c r="BD838" s="29"/>
    </row>
    <row r="839">
      <c r="B839" s="70"/>
      <c r="C839" s="70"/>
      <c r="D839" s="70"/>
      <c r="E839" s="70"/>
      <c r="AF839" s="29"/>
      <c r="AH839" s="29"/>
      <c r="AI839" s="29"/>
      <c r="AS839" s="29"/>
      <c r="AU839" s="29"/>
      <c r="AV839" s="29"/>
      <c r="AX839" s="29"/>
      <c r="BC839" s="29"/>
      <c r="BD839" s="29"/>
    </row>
    <row r="840">
      <c r="B840" s="70"/>
      <c r="C840" s="70"/>
      <c r="D840" s="70"/>
      <c r="E840" s="70"/>
      <c r="AF840" s="29"/>
      <c r="AH840" s="29"/>
      <c r="AI840" s="29"/>
      <c r="AS840" s="29"/>
      <c r="AU840" s="29"/>
      <c r="AV840" s="29"/>
      <c r="AX840" s="29"/>
      <c r="BC840" s="29"/>
      <c r="BD840" s="29"/>
    </row>
    <row r="841">
      <c r="B841" s="70"/>
      <c r="C841" s="70"/>
      <c r="D841" s="70"/>
      <c r="E841" s="70"/>
      <c r="AF841" s="29"/>
      <c r="AH841" s="29"/>
      <c r="AI841" s="29"/>
      <c r="AS841" s="29"/>
      <c r="AU841" s="29"/>
      <c r="AV841" s="29"/>
      <c r="AX841" s="29"/>
      <c r="BC841" s="29"/>
      <c r="BD841" s="29"/>
    </row>
    <row r="842">
      <c r="B842" s="70"/>
      <c r="C842" s="70"/>
      <c r="D842" s="70"/>
      <c r="E842" s="70"/>
      <c r="AF842" s="29"/>
      <c r="AH842" s="29"/>
      <c r="AI842" s="29"/>
      <c r="AS842" s="29"/>
      <c r="AU842" s="29"/>
      <c r="AV842" s="29"/>
      <c r="AX842" s="29"/>
      <c r="BC842" s="29"/>
      <c r="BD842" s="29"/>
    </row>
    <row r="843">
      <c r="B843" s="70"/>
      <c r="C843" s="70"/>
      <c r="D843" s="70"/>
      <c r="E843" s="70"/>
      <c r="AF843" s="29"/>
      <c r="AH843" s="29"/>
      <c r="AI843" s="29"/>
      <c r="AS843" s="29"/>
      <c r="AU843" s="29"/>
      <c r="AV843" s="29"/>
      <c r="AX843" s="29"/>
      <c r="BC843" s="29"/>
      <c r="BD843" s="29"/>
    </row>
    <row r="844">
      <c r="B844" s="70"/>
      <c r="C844" s="70"/>
      <c r="D844" s="70"/>
      <c r="E844" s="70"/>
      <c r="AF844" s="29"/>
      <c r="AH844" s="29"/>
      <c r="AI844" s="29"/>
      <c r="AS844" s="29"/>
      <c r="AU844" s="29"/>
      <c r="AV844" s="29"/>
      <c r="AX844" s="29"/>
      <c r="BC844" s="29"/>
      <c r="BD844" s="29"/>
    </row>
    <row r="845">
      <c r="B845" s="70"/>
      <c r="C845" s="70"/>
      <c r="D845" s="70"/>
      <c r="E845" s="70"/>
      <c r="AF845" s="29"/>
      <c r="AH845" s="29"/>
      <c r="AI845" s="29"/>
      <c r="AS845" s="29"/>
      <c r="AU845" s="29"/>
      <c r="AV845" s="29"/>
      <c r="AX845" s="29"/>
      <c r="BC845" s="29"/>
      <c r="BD845" s="29"/>
    </row>
    <row r="846">
      <c r="B846" s="70"/>
      <c r="C846" s="70"/>
      <c r="D846" s="70"/>
      <c r="E846" s="70"/>
      <c r="AF846" s="29"/>
      <c r="AH846" s="29"/>
      <c r="AI846" s="29"/>
      <c r="AS846" s="29"/>
      <c r="AU846" s="29"/>
      <c r="AV846" s="29"/>
      <c r="AX846" s="29"/>
      <c r="BC846" s="29"/>
      <c r="BD846" s="29"/>
    </row>
    <row r="847">
      <c r="B847" s="70"/>
      <c r="C847" s="70"/>
      <c r="D847" s="70"/>
      <c r="E847" s="70"/>
      <c r="AF847" s="29"/>
      <c r="AH847" s="29"/>
      <c r="AI847" s="29"/>
      <c r="AS847" s="29"/>
      <c r="AU847" s="29"/>
      <c r="AV847" s="29"/>
      <c r="AX847" s="29"/>
      <c r="BC847" s="29"/>
      <c r="BD847" s="29"/>
    </row>
    <row r="848">
      <c r="B848" s="70"/>
      <c r="C848" s="70"/>
      <c r="D848" s="70"/>
      <c r="E848" s="70"/>
      <c r="AF848" s="29"/>
      <c r="AH848" s="29"/>
      <c r="AI848" s="29"/>
      <c r="AS848" s="29"/>
      <c r="AU848" s="29"/>
      <c r="AV848" s="29"/>
      <c r="AX848" s="29"/>
      <c r="BC848" s="29"/>
      <c r="BD848" s="29"/>
    </row>
    <row r="849">
      <c r="B849" s="70"/>
      <c r="C849" s="70"/>
      <c r="D849" s="70"/>
      <c r="E849" s="70"/>
      <c r="AF849" s="29"/>
      <c r="AH849" s="29"/>
      <c r="AI849" s="29"/>
      <c r="AS849" s="29"/>
      <c r="AU849" s="29"/>
      <c r="AV849" s="29"/>
      <c r="AX849" s="29"/>
      <c r="BC849" s="29"/>
      <c r="BD849" s="29"/>
    </row>
    <row r="850">
      <c r="B850" s="70"/>
      <c r="C850" s="70"/>
      <c r="D850" s="70"/>
      <c r="E850" s="70"/>
      <c r="AF850" s="29"/>
      <c r="AH850" s="29"/>
      <c r="AI850" s="29"/>
      <c r="AS850" s="29"/>
      <c r="AU850" s="29"/>
      <c r="AV850" s="29"/>
      <c r="AX850" s="29"/>
      <c r="BC850" s="29"/>
      <c r="BD850" s="29"/>
    </row>
    <row r="851">
      <c r="B851" s="70"/>
      <c r="C851" s="70"/>
      <c r="D851" s="70"/>
      <c r="E851" s="70"/>
      <c r="AF851" s="29"/>
      <c r="AH851" s="29"/>
      <c r="AI851" s="29"/>
      <c r="AS851" s="29"/>
      <c r="AU851" s="29"/>
      <c r="AV851" s="29"/>
      <c r="AX851" s="29"/>
      <c r="BC851" s="29"/>
      <c r="BD851" s="29"/>
    </row>
    <row r="852">
      <c r="B852" s="70"/>
      <c r="C852" s="70"/>
      <c r="D852" s="70"/>
      <c r="E852" s="70"/>
      <c r="AF852" s="29"/>
      <c r="AH852" s="29"/>
      <c r="AI852" s="29"/>
      <c r="AS852" s="29"/>
      <c r="AU852" s="29"/>
      <c r="AV852" s="29"/>
      <c r="AX852" s="29"/>
      <c r="BC852" s="29"/>
      <c r="BD852" s="29"/>
    </row>
    <row r="853">
      <c r="B853" s="70"/>
      <c r="C853" s="70"/>
      <c r="D853" s="70"/>
      <c r="E853" s="70"/>
      <c r="AF853" s="29"/>
      <c r="AH853" s="29"/>
      <c r="AI853" s="29"/>
      <c r="AS853" s="29"/>
      <c r="AU853" s="29"/>
      <c r="AV853" s="29"/>
      <c r="AX853" s="29"/>
      <c r="BC853" s="29"/>
      <c r="BD853" s="29"/>
    </row>
    <row r="854">
      <c r="B854" s="70"/>
      <c r="C854" s="70"/>
      <c r="D854" s="70"/>
      <c r="E854" s="70"/>
      <c r="AF854" s="29"/>
      <c r="AH854" s="29"/>
      <c r="AI854" s="29"/>
      <c r="AS854" s="29"/>
      <c r="AU854" s="29"/>
      <c r="AV854" s="29"/>
      <c r="AX854" s="29"/>
      <c r="BC854" s="29"/>
      <c r="BD854" s="29"/>
    </row>
    <row r="855">
      <c r="B855" s="70"/>
      <c r="C855" s="70"/>
      <c r="D855" s="70"/>
      <c r="E855" s="70"/>
      <c r="AF855" s="29"/>
      <c r="AH855" s="29"/>
      <c r="AI855" s="29"/>
      <c r="AS855" s="29"/>
      <c r="AU855" s="29"/>
      <c r="AV855" s="29"/>
      <c r="AX855" s="29"/>
      <c r="BC855" s="29"/>
      <c r="BD855" s="29"/>
    </row>
    <row r="856">
      <c r="B856" s="70"/>
      <c r="C856" s="70"/>
      <c r="D856" s="70"/>
      <c r="E856" s="70"/>
      <c r="AF856" s="29"/>
      <c r="AH856" s="29"/>
      <c r="AI856" s="29"/>
      <c r="AS856" s="29"/>
      <c r="AU856" s="29"/>
      <c r="AV856" s="29"/>
      <c r="AX856" s="29"/>
      <c r="BC856" s="29"/>
      <c r="BD856" s="29"/>
    </row>
    <row r="857">
      <c r="B857" s="70"/>
      <c r="C857" s="70"/>
      <c r="D857" s="70"/>
      <c r="E857" s="70"/>
      <c r="AF857" s="29"/>
      <c r="AH857" s="29"/>
      <c r="AI857" s="29"/>
      <c r="AS857" s="29"/>
      <c r="AU857" s="29"/>
      <c r="AV857" s="29"/>
      <c r="AX857" s="29"/>
      <c r="BC857" s="29"/>
      <c r="BD857" s="29"/>
    </row>
    <row r="858">
      <c r="B858" s="70"/>
      <c r="C858" s="70"/>
      <c r="D858" s="70"/>
      <c r="E858" s="70"/>
      <c r="AF858" s="29"/>
      <c r="AH858" s="29"/>
      <c r="AI858" s="29"/>
      <c r="AS858" s="29"/>
      <c r="AU858" s="29"/>
      <c r="AV858" s="29"/>
      <c r="AX858" s="29"/>
      <c r="BC858" s="29"/>
      <c r="BD858" s="29"/>
    </row>
    <row r="859">
      <c r="B859" s="70"/>
      <c r="C859" s="70"/>
      <c r="D859" s="70"/>
      <c r="E859" s="70"/>
      <c r="AF859" s="29"/>
      <c r="AH859" s="29"/>
      <c r="AI859" s="29"/>
      <c r="AS859" s="29"/>
      <c r="AU859" s="29"/>
      <c r="AV859" s="29"/>
      <c r="AX859" s="29"/>
      <c r="BC859" s="29"/>
      <c r="BD859" s="29"/>
    </row>
    <row r="860">
      <c r="B860" s="70"/>
      <c r="C860" s="70"/>
      <c r="D860" s="70"/>
      <c r="E860" s="70"/>
      <c r="AF860" s="29"/>
      <c r="AH860" s="29"/>
      <c r="AI860" s="29"/>
      <c r="AS860" s="29"/>
      <c r="AU860" s="29"/>
      <c r="AV860" s="29"/>
      <c r="AX860" s="29"/>
      <c r="BC860" s="29"/>
      <c r="BD860" s="29"/>
    </row>
    <row r="861">
      <c r="B861" s="70"/>
      <c r="C861" s="70"/>
      <c r="D861" s="70"/>
      <c r="E861" s="70"/>
      <c r="AF861" s="29"/>
      <c r="AH861" s="29"/>
      <c r="AI861" s="29"/>
      <c r="AS861" s="29"/>
      <c r="AU861" s="29"/>
      <c r="AV861" s="29"/>
      <c r="AX861" s="29"/>
      <c r="BC861" s="29"/>
      <c r="BD861" s="29"/>
    </row>
    <row r="862">
      <c r="B862" s="70"/>
      <c r="C862" s="70"/>
      <c r="D862" s="70"/>
      <c r="E862" s="70"/>
      <c r="AF862" s="29"/>
      <c r="AH862" s="29"/>
      <c r="AI862" s="29"/>
      <c r="AS862" s="29"/>
      <c r="AU862" s="29"/>
      <c r="AV862" s="29"/>
      <c r="AX862" s="29"/>
      <c r="BC862" s="29"/>
      <c r="BD862" s="29"/>
    </row>
    <row r="863">
      <c r="B863" s="70"/>
      <c r="C863" s="70"/>
      <c r="D863" s="70"/>
      <c r="E863" s="70"/>
      <c r="AF863" s="29"/>
      <c r="AH863" s="29"/>
      <c r="AI863" s="29"/>
      <c r="AS863" s="29"/>
      <c r="AU863" s="29"/>
      <c r="AV863" s="29"/>
      <c r="AX863" s="29"/>
      <c r="BC863" s="29"/>
      <c r="BD863" s="29"/>
    </row>
    <row r="864">
      <c r="B864" s="70"/>
      <c r="C864" s="70"/>
      <c r="D864" s="70"/>
      <c r="E864" s="70"/>
      <c r="AF864" s="29"/>
      <c r="AH864" s="29"/>
      <c r="AI864" s="29"/>
      <c r="AS864" s="29"/>
      <c r="AU864" s="29"/>
      <c r="AV864" s="29"/>
      <c r="AX864" s="29"/>
      <c r="BC864" s="29"/>
      <c r="BD864" s="29"/>
    </row>
    <row r="865">
      <c r="B865" s="70"/>
      <c r="C865" s="70"/>
      <c r="D865" s="70"/>
      <c r="E865" s="70"/>
      <c r="AF865" s="29"/>
      <c r="AH865" s="29"/>
      <c r="AI865" s="29"/>
      <c r="AS865" s="29"/>
      <c r="AU865" s="29"/>
      <c r="AV865" s="29"/>
      <c r="AX865" s="29"/>
      <c r="BC865" s="29"/>
      <c r="BD865" s="29"/>
    </row>
    <row r="866">
      <c r="B866" s="70"/>
      <c r="C866" s="70"/>
      <c r="D866" s="70"/>
      <c r="E866" s="70"/>
      <c r="AF866" s="29"/>
      <c r="AH866" s="29"/>
      <c r="AI866" s="29"/>
      <c r="AS866" s="29"/>
      <c r="AU866" s="29"/>
      <c r="AV866" s="29"/>
      <c r="AX866" s="29"/>
      <c r="BC866" s="29"/>
      <c r="BD866" s="29"/>
    </row>
    <row r="867">
      <c r="B867" s="70"/>
      <c r="C867" s="70"/>
      <c r="D867" s="70"/>
      <c r="E867" s="70"/>
      <c r="AF867" s="29"/>
      <c r="AH867" s="29"/>
      <c r="AI867" s="29"/>
      <c r="AS867" s="29"/>
      <c r="AU867" s="29"/>
      <c r="AV867" s="29"/>
      <c r="AX867" s="29"/>
      <c r="BC867" s="29"/>
      <c r="BD867" s="29"/>
    </row>
    <row r="868">
      <c r="B868" s="70"/>
      <c r="C868" s="70"/>
      <c r="D868" s="70"/>
      <c r="E868" s="70"/>
      <c r="AF868" s="29"/>
      <c r="AH868" s="29"/>
      <c r="AI868" s="29"/>
      <c r="AS868" s="29"/>
      <c r="AU868" s="29"/>
      <c r="AV868" s="29"/>
      <c r="AX868" s="29"/>
      <c r="BC868" s="29"/>
      <c r="BD868" s="29"/>
    </row>
    <row r="869">
      <c r="B869" s="70"/>
      <c r="C869" s="70"/>
      <c r="D869" s="70"/>
      <c r="E869" s="70"/>
      <c r="AF869" s="29"/>
      <c r="AH869" s="29"/>
      <c r="AI869" s="29"/>
      <c r="AS869" s="29"/>
      <c r="AU869" s="29"/>
      <c r="AV869" s="29"/>
      <c r="AX869" s="29"/>
      <c r="BC869" s="29"/>
      <c r="BD869" s="29"/>
    </row>
    <row r="870">
      <c r="B870" s="70"/>
      <c r="C870" s="70"/>
      <c r="D870" s="70"/>
      <c r="E870" s="70"/>
      <c r="AF870" s="29"/>
      <c r="AH870" s="29"/>
      <c r="AI870" s="29"/>
      <c r="AS870" s="29"/>
      <c r="AU870" s="29"/>
      <c r="AV870" s="29"/>
      <c r="AX870" s="29"/>
      <c r="BC870" s="29"/>
      <c r="BD870" s="29"/>
    </row>
    <row r="871">
      <c r="B871" s="70"/>
      <c r="C871" s="70"/>
      <c r="D871" s="70"/>
      <c r="E871" s="70"/>
      <c r="AF871" s="29"/>
      <c r="AH871" s="29"/>
      <c r="AI871" s="29"/>
      <c r="AS871" s="29"/>
      <c r="AU871" s="29"/>
      <c r="AV871" s="29"/>
      <c r="AX871" s="29"/>
      <c r="BC871" s="29"/>
      <c r="BD871" s="29"/>
    </row>
    <row r="872">
      <c r="B872" s="70"/>
      <c r="C872" s="70"/>
      <c r="D872" s="70"/>
      <c r="E872" s="70"/>
      <c r="AF872" s="29"/>
      <c r="AH872" s="29"/>
      <c r="AI872" s="29"/>
      <c r="AS872" s="29"/>
      <c r="AU872" s="29"/>
      <c r="AV872" s="29"/>
      <c r="AX872" s="29"/>
      <c r="BC872" s="29"/>
      <c r="BD872" s="29"/>
    </row>
    <row r="873">
      <c r="B873" s="70"/>
      <c r="C873" s="70"/>
      <c r="D873" s="70"/>
      <c r="E873" s="70"/>
      <c r="AF873" s="29"/>
      <c r="AH873" s="29"/>
      <c r="AI873" s="29"/>
      <c r="AS873" s="29"/>
      <c r="AU873" s="29"/>
      <c r="AV873" s="29"/>
      <c r="AX873" s="29"/>
      <c r="BC873" s="29"/>
      <c r="BD873" s="29"/>
    </row>
    <row r="874">
      <c r="B874" s="70"/>
      <c r="C874" s="70"/>
      <c r="D874" s="70"/>
      <c r="E874" s="70"/>
      <c r="AF874" s="29"/>
      <c r="AH874" s="29"/>
      <c r="AI874" s="29"/>
      <c r="AS874" s="29"/>
      <c r="AU874" s="29"/>
      <c r="AV874" s="29"/>
      <c r="AX874" s="29"/>
      <c r="BC874" s="29"/>
      <c r="BD874" s="29"/>
    </row>
    <row r="875">
      <c r="B875" s="70"/>
      <c r="C875" s="70"/>
      <c r="D875" s="70"/>
      <c r="E875" s="70"/>
      <c r="AF875" s="29"/>
      <c r="AH875" s="29"/>
      <c r="AI875" s="29"/>
      <c r="AS875" s="29"/>
      <c r="AU875" s="29"/>
      <c r="AV875" s="29"/>
      <c r="AX875" s="29"/>
      <c r="BC875" s="29"/>
      <c r="BD875" s="29"/>
    </row>
    <row r="876">
      <c r="B876" s="70"/>
      <c r="C876" s="70"/>
      <c r="D876" s="70"/>
      <c r="E876" s="70"/>
      <c r="AF876" s="29"/>
      <c r="AH876" s="29"/>
      <c r="AI876" s="29"/>
      <c r="AS876" s="29"/>
      <c r="AU876" s="29"/>
      <c r="AV876" s="29"/>
      <c r="AX876" s="29"/>
      <c r="BC876" s="29"/>
      <c r="BD876" s="29"/>
    </row>
    <row r="877">
      <c r="B877" s="70"/>
      <c r="C877" s="70"/>
      <c r="D877" s="70"/>
      <c r="E877" s="70"/>
      <c r="AF877" s="29"/>
      <c r="AH877" s="29"/>
      <c r="AI877" s="29"/>
      <c r="AS877" s="29"/>
      <c r="AU877" s="29"/>
      <c r="AV877" s="29"/>
      <c r="AX877" s="29"/>
      <c r="BC877" s="29"/>
      <c r="BD877" s="29"/>
    </row>
    <row r="878">
      <c r="B878" s="70"/>
      <c r="C878" s="70"/>
      <c r="D878" s="70"/>
      <c r="E878" s="70"/>
      <c r="AF878" s="29"/>
      <c r="AH878" s="29"/>
      <c r="AI878" s="29"/>
      <c r="AS878" s="29"/>
      <c r="AU878" s="29"/>
      <c r="AV878" s="29"/>
      <c r="AX878" s="29"/>
      <c r="BC878" s="29"/>
      <c r="BD878" s="29"/>
    </row>
    <row r="879">
      <c r="B879" s="70"/>
      <c r="C879" s="70"/>
      <c r="D879" s="70"/>
      <c r="E879" s="70"/>
      <c r="AF879" s="29"/>
      <c r="AH879" s="29"/>
      <c r="AI879" s="29"/>
      <c r="AS879" s="29"/>
      <c r="AU879" s="29"/>
      <c r="AV879" s="29"/>
      <c r="AX879" s="29"/>
      <c r="BC879" s="29"/>
      <c r="BD879" s="29"/>
    </row>
    <row r="880">
      <c r="B880" s="70"/>
      <c r="C880" s="70"/>
      <c r="D880" s="70"/>
      <c r="E880" s="70"/>
      <c r="AF880" s="29"/>
      <c r="AH880" s="29"/>
      <c r="AI880" s="29"/>
      <c r="AS880" s="29"/>
      <c r="AU880" s="29"/>
      <c r="AV880" s="29"/>
      <c r="AX880" s="29"/>
      <c r="BC880" s="29"/>
      <c r="BD880" s="29"/>
    </row>
    <row r="881">
      <c r="B881" s="70"/>
      <c r="C881" s="70"/>
      <c r="D881" s="70"/>
      <c r="E881" s="70"/>
      <c r="AF881" s="29"/>
      <c r="AH881" s="29"/>
      <c r="AI881" s="29"/>
      <c r="AS881" s="29"/>
      <c r="AU881" s="29"/>
      <c r="AV881" s="29"/>
      <c r="AX881" s="29"/>
      <c r="BC881" s="29"/>
      <c r="BD881" s="29"/>
    </row>
    <row r="882">
      <c r="B882" s="70"/>
      <c r="C882" s="70"/>
      <c r="D882" s="70"/>
      <c r="E882" s="70"/>
      <c r="AF882" s="29"/>
      <c r="AH882" s="29"/>
      <c r="AI882" s="29"/>
      <c r="AS882" s="29"/>
      <c r="AU882" s="29"/>
      <c r="AV882" s="29"/>
      <c r="AX882" s="29"/>
      <c r="BC882" s="29"/>
      <c r="BD882" s="29"/>
    </row>
    <row r="883">
      <c r="B883" s="70"/>
      <c r="C883" s="70"/>
      <c r="D883" s="70"/>
      <c r="E883" s="70"/>
      <c r="AF883" s="29"/>
      <c r="AH883" s="29"/>
      <c r="AI883" s="29"/>
      <c r="AS883" s="29"/>
      <c r="AU883" s="29"/>
      <c r="AV883" s="29"/>
      <c r="AX883" s="29"/>
      <c r="BC883" s="29"/>
      <c r="BD883" s="29"/>
    </row>
    <row r="884">
      <c r="B884" s="70"/>
      <c r="C884" s="70"/>
      <c r="D884" s="70"/>
      <c r="E884" s="70"/>
      <c r="AF884" s="29"/>
      <c r="AH884" s="29"/>
      <c r="AI884" s="29"/>
      <c r="AS884" s="29"/>
      <c r="AU884" s="29"/>
      <c r="AV884" s="29"/>
      <c r="AX884" s="29"/>
      <c r="BC884" s="29"/>
      <c r="BD884" s="29"/>
    </row>
    <row r="885">
      <c r="B885" s="70"/>
      <c r="C885" s="70"/>
      <c r="D885" s="70"/>
      <c r="E885" s="70"/>
      <c r="AF885" s="29"/>
      <c r="AH885" s="29"/>
      <c r="AI885" s="29"/>
      <c r="AS885" s="29"/>
      <c r="AU885" s="29"/>
      <c r="AV885" s="29"/>
      <c r="AX885" s="29"/>
      <c r="BC885" s="29"/>
      <c r="BD885" s="29"/>
    </row>
    <row r="886">
      <c r="B886" s="70"/>
      <c r="C886" s="70"/>
      <c r="D886" s="70"/>
      <c r="E886" s="70"/>
      <c r="AF886" s="29"/>
      <c r="AH886" s="29"/>
      <c r="AI886" s="29"/>
      <c r="AS886" s="29"/>
      <c r="AU886" s="29"/>
      <c r="AV886" s="29"/>
      <c r="AX886" s="29"/>
      <c r="BC886" s="29"/>
      <c r="BD886" s="29"/>
    </row>
    <row r="887">
      <c r="B887" s="70"/>
      <c r="C887" s="70"/>
      <c r="D887" s="70"/>
      <c r="E887" s="70"/>
      <c r="AF887" s="29"/>
      <c r="AH887" s="29"/>
      <c r="AI887" s="29"/>
      <c r="AS887" s="29"/>
      <c r="AU887" s="29"/>
      <c r="AV887" s="29"/>
      <c r="AX887" s="29"/>
      <c r="BC887" s="29"/>
      <c r="BD887" s="29"/>
    </row>
    <row r="888">
      <c r="B888" s="70"/>
      <c r="C888" s="70"/>
      <c r="D888" s="70"/>
      <c r="E888" s="70"/>
      <c r="AF888" s="29"/>
      <c r="AH888" s="29"/>
      <c r="AI888" s="29"/>
      <c r="AS888" s="29"/>
      <c r="AU888" s="29"/>
      <c r="AV888" s="29"/>
      <c r="AX888" s="29"/>
      <c r="BC888" s="29"/>
      <c r="BD888" s="29"/>
    </row>
    <row r="889">
      <c r="B889" s="70"/>
      <c r="C889" s="70"/>
      <c r="D889" s="70"/>
      <c r="E889" s="70"/>
      <c r="AF889" s="29"/>
      <c r="AH889" s="29"/>
      <c r="AI889" s="29"/>
      <c r="AS889" s="29"/>
      <c r="AU889" s="29"/>
      <c r="AV889" s="29"/>
      <c r="AX889" s="29"/>
      <c r="BC889" s="29"/>
      <c r="BD889" s="29"/>
    </row>
    <row r="890">
      <c r="B890" s="70"/>
      <c r="C890" s="70"/>
      <c r="D890" s="70"/>
      <c r="E890" s="70"/>
      <c r="AF890" s="29"/>
      <c r="AH890" s="29"/>
      <c r="AI890" s="29"/>
      <c r="AS890" s="29"/>
      <c r="AU890" s="29"/>
      <c r="AV890" s="29"/>
      <c r="AX890" s="29"/>
      <c r="BC890" s="29"/>
      <c r="BD890" s="29"/>
    </row>
    <row r="891">
      <c r="B891" s="70"/>
      <c r="C891" s="70"/>
      <c r="D891" s="70"/>
      <c r="E891" s="70"/>
      <c r="AF891" s="29"/>
      <c r="AH891" s="29"/>
      <c r="AI891" s="29"/>
      <c r="AS891" s="29"/>
      <c r="AU891" s="29"/>
      <c r="AV891" s="29"/>
      <c r="AX891" s="29"/>
      <c r="BC891" s="29"/>
      <c r="BD891" s="29"/>
    </row>
    <row r="892">
      <c r="B892" s="70"/>
      <c r="C892" s="70"/>
      <c r="D892" s="70"/>
      <c r="E892" s="70"/>
      <c r="AF892" s="29"/>
      <c r="AH892" s="29"/>
      <c r="AI892" s="29"/>
      <c r="AS892" s="29"/>
      <c r="AU892" s="29"/>
      <c r="AV892" s="29"/>
      <c r="AX892" s="29"/>
      <c r="BC892" s="29"/>
      <c r="BD892" s="29"/>
    </row>
    <row r="893">
      <c r="B893" s="70"/>
      <c r="C893" s="70"/>
      <c r="D893" s="70"/>
      <c r="E893" s="70"/>
      <c r="AF893" s="29"/>
      <c r="AH893" s="29"/>
      <c r="AI893" s="29"/>
      <c r="AS893" s="29"/>
      <c r="AU893" s="29"/>
      <c r="AV893" s="29"/>
      <c r="AX893" s="29"/>
      <c r="BC893" s="29"/>
      <c r="BD893" s="29"/>
    </row>
    <row r="894">
      <c r="B894" s="70"/>
      <c r="C894" s="70"/>
      <c r="D894" s="70"/>
      <c r="E894" s="70"/>
      <c r="AF894" s="29"/>
      <c r="AH894" s="29"/>
      <c r="AI894" s="29"/>
      <c r="AS894" s="29"/>
      <c r="AU894" s="29"/>
      <c r="AV894" s="29"/>
      <c r="AX894" s="29"/>
      <c r="BC894" s="29"/>
      <c r="BD894" s="29"/>
    </row>
    <row r="895">
      <c r="B895" s="70"/>
      <c r="C895" s="70"/>
      <c r="D895" s="70"/>
      <c r="E895" s="70"/>
      <c r="AF895" s="29"/>
      <c r="AH895" s="29"/>
      <c r="AI895" s="29"/>
      <c r="AS895" s="29"/>
      <c r="AU895" s="29"/>
      <c r="AV895" s="29"/>
      <c r="AX895" s="29"/>
      <c r="BC895" s="29"/>
      <c r="BD895" s="29"/>
    </row>
    <row r="896">
      <c r="B896" s="70"/>
      <c r="C896" s="70"/>
      <c r="D896" s="70"/>
      <c r="E896" s="70"/>
      <c r="AF896" s="29"/>
      <c r="AH896" s="29"/>
      <c r="AI896" s="29"/>
      <c r="AS896" s="29"/>
      <c r="AU896" s="29"/>
      <c r="AV896" s="29"/>
      <c r="AX896" s="29"/>
      <c r="BC896" s="29"/>
      <c r="BD896" s="29"/>
    </row>
    <row r="897">
      <c r="B897" s="70"/>
      <c r="C897" s="70"/>
      <c r="D897" s="70"/>
      <c r="E897" s="70"/>
      <c r="AF897" s="29"/>
      <c r="AH897" s="29"/>
      <c r="AI897" s="29"/>
      <c r="AS897" s="29"/>
      <c r="AU897" s="29"/>
      <c r="AV897" s="29"/>
      <c r="AX897" s="29"/>
      <c r="BC897" s="29"/>
      <c r="BD897" s="29"/>
    </row>
    <row r="898">
      <c r="B898" s="70"/>
      <c r="C898" s="70"/>
      <c r="D898" s="70"/>
      <c r="E898" s="70"/>
      <c r="AF898" s="29"/>
      <c r="AH898" s="29"/>
      <c r="AI898" s="29"/>
      <c r="AS898" s="29"/>
      <c r="AU898" s="29"/>
      <c r="AV898" s="29"/>
      <c r="AX898" s="29"/>
      <c r="BC898" s="29"/>
      <c r="BD898" s="29"/>
    </row>
    <row r="899">
      <c r="B899" s="70"/>
      <c r="C899" s="70"/>
      <c r="D899" s="70"/>
      <c r="E899" s="70"/>
      <c r="AF899" s="29"/>
      <c r="AH899" s="29"/>
      <c r="AI899" s="29"/>
      <c r="AS899" s="29"/>
      <c r="AU899" s="29"/>
      <c r="AV899" s="29"/>
      <c r="AX899" s="29"/>
      <c r="BC899" s="29"/>
      <c r="BD899" s="29"/>
    </row>
    <row r="900">
      <c r="B900" s="70"/>
      <c r="C900" s="70"/>
      <c r="D900" s="70"/>
      <c r="E900" s="70"/>
      <c r="AF900" s="29"/>
      <c r="AH900" s="29"/>
      <c r="AI900" s="29"/>
      <c r="AS900" s="29"/>
      <c r="AU900" s="29"/>
      <c r="AV900" s="29"/>
      <c r="AX900" s="29"/>
      <c r="BC900" s="29"/>
      <c r="BD900" s="29"/>
    </row>
    <row r="901">
      <c r="B901" s="70"/>
      <c r="C901" s="70"/>
      <c r="D901" s="70"/>
      <c r="E901" s="70"/>
      <c r="AF901" s="29"/>
      <c r="AH901" s="29"/>
      <c r="AI901" s="29"/>
      <c r="AS901" s="29"/>
      <c r="AU901" s="29"/>
      <c r="AV901" s="29"/>
      <c r="AX901" s="29"/>
      <c r="BC901" s="29"/>
      <c r="BD901" s="29"/>
    </row>
    <row r="902">
      <c r="B902" s="70"/>
      <c r="C902" s="70"/>
      <c r="D902" s="70"/>
      <c r="E902" s="70"/>
      <c r="AF902" s="29"/>
      <c r="AH902" s="29"/>
      <c r="AI902" s="29"/>
      <c r="AS902" s="29"/>
      <c r="AU902" s="29"/>
      <c r="AV902" s="29"/>
      <c r="AX902" s="29"/>
      <c r="BC902" s="29"/>
      <c r="BD902" s="29"/>
    </row>
    <row r="903">
      <c r="B903" s="70"/>
      <c r="C903" s="70"/>
      <c r="D903" s="70"/>
      <c r="E903" s="70"/>
      <c r="AF903" s="29"/>
      <c r="AH903" s="29"/>
      <c r="AI903" s="29"/>
      <c r="AS903" s="29"/>
      <c r="AU903" s="29"/>
      <c r="AV903" s="29"/>
      <c r="AX903" s="29"/>
      <c r="BC903" s="29"/>
      <c r="BD903" s="29"/>
    </row>
    <row r="904">
      <c r="B904" s="70"/>
      <c r="C904" s="70"/>
      <c r="D904" s="70"/>
      <c r="E904" s="70"/>
      <c r="AF904" s="29"/>
      <c r="AH904" s="29"/>
      <c r="AI904" s="29"/>
      <c r="AS904" s="29"/>
      <c r="AU904" s="29"/>
      <c r="AV904" s="29"/>
      <c r="AX904" s="29"/>
      <c r="BC904" s="29"/>
      <c r="BD904" s="29"/>
    </row>
    <row r="905">
      <c r="B905" s="70"/>
      <c r="C905" s="70"/>
      <c r="D905" s="70"/>
      <c r="E905" s="70"/>
      <c r="AF905" s="29"/>
      <c r="AH905" s="29"/>
      <c r="AI905" s="29"/>
      <c r="AS905" s="29"/>
      <c r="AU905" s="29"/>
      <c r="AV905" s="29"/>
      <c r="AX905" s="29"/>
      <c r="BC905" s="29"/>
      <c r="BD905" s="29"/>
    </row>
    <row r="906">
      <c r="B906" s="70"/>
      <c r="C906" s="70"/>
      <c r="D906" s="70"/>
      <c r="E906" s="70"/>
      <c r="AF906" s="29"/>
      <c r="AH906" s="29"/>
      <c r="AI906" s="29"/>
      <c r="AS906" s="29"/>
      <c r="AU906" s="29"/>
      <c r="AV906" s="29"/>
      <c r="AX906" s="29"/>
      <c r="BC906" s="29"/>
      <c r="BD906" s="29"/>
    </row>
    <row r="907">
      <c r="B907" s="70"/>
      <c r="C907" s="70"/>
      <c r="D907" s="70"/>
      <c r="E907" s="70"/>
      <c r="AF907" s="29"/>
      <c r="AH907" s="29"/>
      <c r="AI907" s="29"/>
      <c r="AS907" s="29"/>
      <c r="AU907" s="29"/>
      <c r="AV907" s="29"/>
      <c r="AX907" s="29"/>
      <c r="BC907" s="29"/>
      <c r="BD907" s="29"/>
    </row>
    <row r="908">
      <c r="B908" s="70"/>
      <c r="C908" s="70"/>
      <c r="D908" s="70"/>
      <c r="E908" s="70"/>
      <c r="AF908" s="29"/>
      <c r="AH908" s="29"/>
      <c r="AI908" s="29"/>
      <c r="AS908" s="29"/>
      <c r="AU908" s="29"/>
      <c r="AV908" s="29"/>
      <c r="AX908" s="29"/>
      <c r="BC908" s="29"/>
      <c r="BD908" s="29"/>
    </row>
    <row r="909">
      <c r="B909" s="70"/>
      <c r="C909" s="70"/>
      <c r="D909" s="70"/>
      <c r="E909" s="70"/>
      <c r="AF909" s="29"/>
      <c r="AH909" s="29"/>
      <c r="AI909" s="29"/>
      <c r="AS909" s="29"/>
      <c r="AU909" s="29"/>
      <c r="AV909" s="29"/>
      <c r="AX909" s="29"/>
      <c r="BC909" s="29"/>
      <c r="BD909" s="29"/>
    </row>
    <row r="910">
      <c r="B910" s="70"/>
      <c r="C910" s="70"/>
      <c r="D910" s="70"/>
      <c r="E910" s="70"/>
      <c r="AF910" s="29"/>
      <c r="AH910" s="29"/>
      <c r="AI910" s="29"/>
      <c r="AS910" s="29"/>
      <c r="AU910" s="29"/>
      <c r="AV910" s="29"/>
      <c r="AX910" s="29"/>
      <c r="BC910" s="29"/>
      <c r="BD910" s="29"/>
    </row>
    <row r="911">
      <c r="B911" s="70"/>
      <c r="C911" s="70"/>
      <c r="D911" s="70"/>
      <c r="E911" s="70"/>
      <c r="AF911" s="29"/>
      <c r="AH911" s="29"/>
      <c r="AI911" s="29"/>
      <c r="AS911" s="29"/>
      <c r="AU911" s="29"/>
      <c r="AV911" s="29"/>
      <c r="AX911" s="29"/>
      <c r="BC911" s="29"/>
      <c r="BD911" s="29"/>
    </row>
    <row r="912">
      <c r="B912" s="70"/>
      <c r="C912" s="70"/>
      <c r="D912" s="70"/>
      <c r="E912" s="70"/>
      <c r="AF912" s="29"/>
      <c r="AH912" s="29"/>
      <c r="AI912" s="29"/>
      <c r="AS912" s="29"/>
      <c r="AU912" s="29"/>
      <c r="AV912" s="29"/>
      <c r="AX912" s="29"/>
      <c r="BC912" s="29"/>
      <c r="BD912" s="29"/>
    </row>
    <row r="913">
      <c r="B913" s="70"/>
      <c r="C913" s="70"/>
      <c r="D913" s="70"/>
      <c r="E913" s="70"/>
      <c r="AF913" s="29"/>
      <c r="AH913" s="29"/>
      <c r="AI913" s="29"/>
      <c r="AS913" s="29"/>
      <c r="AU913" s="29"/>
      <c r="AV913" s="29"/>
      <c r="AX913" s="29"/>
      <c r="BC913" s="29"/>
      <c r="BD913" s="29"/>
    </row>
    <row r="914">
      <c r="B914" s="70"/>
      <c r="C914" s="70"/>
      <c r="D914" s="70"/>
      <c r="E914" s="70"/>
      <c r="AF914" s="29"/>
      <c r="AH914" s="29"/>
      <c r="AI914" s="29"/>
      <c r="AS914" s="29"/>
      <c r="AU914" s="29"/>
      <c r="AV914" s="29"/>
      <c r="AX914" s="29"/>
      <c r="BC914" s="29"/>
      <c r="BD914" s="29"/>
    </row>
    <row r="915">
      <c r="B915" s="70"/>
      <c r="C915" s="70"/>
      <c r="D915" s="70"/>
      <c r="E915" s="70"/>
      <c r="AF915" s="29"/>
      <c r="AH915" s="29"/>
      <c r="AI915" s="29"/>
      <c r="AS915" s="29"/>
      <c r="AU915" s="29"/>
      <c r="AV915" s="29"/>
      <c r="AX915" s="29"/>
      <c r="BC915" s="29"/>
      <c r="BD915" s="29"/>
    </row>
    <row r="916">
      <c r="B916" s="70"/>
      <c r="C916" s="70"/>
      <c r="D916" s="70"/>
      <c r="E916" s="70"/>
      <c r="AF916" s="29"/>
      <c r="AH916" s="29"/>
      <c r="AI916" s="29"/>
      <c r="AS916" s="29"/>
      <c r="AU916" s="29"/>
      <c r="AV916" s="29"/>
      <c r="AX916" s="29"/>
      <c r="BC916" s="29"/>
      <c r="BD916" s="29"/>
    </row>
    <row r="917">
      <c r="B917" s="70"/>
      <c r="C917" s="70"/>
      <c r="D917" s="70"/>
      <c r="E917" s="70"/>
      <c r="AF917" s="29"/>
      <c r="AH917" s="29"/>
      <c r="AI917" s="29"/>
      <c r="AS917" s="29"/>
      <c r="AU917" s="29"/>
      <c r="AV917" s="29"/>
      <c r="AX917" s="29"/>
      <c r="BC917" s="29"/>
      <c r="BD917" s="29"/>
    </row>
    <row r="918">
      <c r="B918" s="70"/>
      <c r="C918" s="70"/>
      <c r="D918" s="70"/>
      <c r="E918" s="70"/>
      <c r="AF918" s="29"/>
      <c r="AH918" s="29"/>
      <c r="AI918" s="29"/>
      <c r="AS918" s="29"/>
      <c r="AU918" s="29"/>
      <c r="AV918" s="29"/>
      <c r="AX918" s="29"/>
      <c r="BC918" s="29"/>
      <c r="BD918" s="29"/>
    </row>
    <row r="919">
      <c r="B919" s="70"/>
      <c r="C919" s="70"/>
      <c r="D919" s="70"/>
      <c r="E919" s="70"/>
      <c r="AF919" s="29"/>
      <c r="AH919" s="29"/>
      <c r="AI919" s="29"/>
      <c r="AS919" s="29"/>
      <c r="AU919" s="29"/>
      <c r="AV919" s="29"/>
      <c r="AX919" s="29"/>
      <c r="BC919" s="29"/>
      <c r="BD919" s="29"/>
    </row>
    <row r="920">
      <c r="B920" s="70"/>
      <c r="C920" s="70"/>
      <c r="D920" s="70"/>
      <c r="E920" s="70"/>
      <c r="AF920" s="29"/>
      <c r="AH920" s="29"/>
      <c r="AI920" s="29"/>
      <c r="AS920" s="29"/>
      <c r="AU920" s="29"/>
      <c r="AV920" s="29"/>
      <c r="AX920" s="29"/>
      <c r="BC920" s="29"/>
      <c r="BD920" s="29"/>
    </row>
    <row r="921">
      <c r="B921" s="70"/>
      <c r="C921" s="70"/>
      <c r="D921" s="70"/>
      <c r="E921" s="70"/>
      <c r="AF921" s="29"/>
      <c r="AH921" s="29"/>
      <c r="AI921" s="29"/>
      <c r="AS921" s="29"/>
      <c r="AU921" s="29"/>
      <c r="AV921" s="29"/>
      <c r="AX921" s="29"/>
      <c r="BC921" s="29"/>
      <c r="BD921" s="29"/>
    </row>
    <row r="922">
      <c r="B922" s="70"/>
      <c r="C922" s="70"/>
      <c r="D922" s="70"/>
      <c r="E922" s="70"/>
      <c r="AF922" s="29"/>
      <c r="AH922" s="29"/>
      <c r="AI922" s="29"/>
      <c r="AS922" s="29"/>
      <c r="AU922" s="29"/>
      <c r="AV922" s="29"/>
      <c r="AX922" s="29"/>
      <c r="BC922" s="29"/>
      <c r="BD922" s="29"/>
    </row>
    <row r="923">
      <c r="B923" s="70"/>
      <c r="C923" s="70"/>
      <c r="D923" s="70"/>
      <c r="E923" s="70"/>
      <c r="AF923" s="29"/>
      <c r="AH923" s="29"/>
      <c r="AI923" s="29"/>
      <c r="AS923" s="29"/>
      <c r="AU923" s="29"/>
      <c r="AV923" s="29"/>
      <c r="AX923" s="29"/>
      <c r="BC923" s="29"/>
      <c r="BD923" s="29"/>
    </row>
    <row r="924">
      <c r="B924" s="70"/>
      <c r="C924" s="70"/>
      <c r="D924" s="70"/>
      <c r="E924" s="70"/>
      <c r="AF924" s="29"/>
      <c r="AH924" s="29"/>
      <c r="AI924" s="29"/>
      <c r="AS924" s="29"/>
      <c r="AU924" s="29"/>
      <c r="AV924" s="29"/>
      <c r="AX924" s="29"/>
      <c r="BC924" s="29"/>
      <c r="BD924" s="29"/>
    </row>
    <row r="925">
      <c r="B925" s="70"/>
      <c r="C925" s="70"/>
      <c r="D925" s="70"/>
      <c r="E925" s="70"/>
      <c r="AF925" s="29"/>
      <c r="AH925" s="29"/>
      <c r="AI925" s="29"/>
      <c r="AS925" s="29"/>
      <c r="AU925" s="29"/>
      <c r="AV925" s="29"/>
      <c r="AX925" s="29"/>
      <c r="BC925" s="29"/>
      <c r="BD925" s="29"/>
    </row>
    <row r="926">
      <c r="B926" s="70"/>
      <c r="C926" s="70"/>
      <c r="D926" s="70"/>
      <c r="E926" s="70"/>
      <c r="AF926" s="29"/>
      <c r="AH926" s="29"/>
      <c r="AI926" s="29"/>
      <c r="AS926" s="29"/>
      <c r="AU926" s="29"/>
      <c r="AV926" s="29"/>
      <c r="AX926" s="29"/>
      <c r="BC926" s="29"/>
      <c r="BD926" s="29"/>
    </row>
    <row r="927">
      <c r="B927" s="70"/>
      <c r="C927" s="70"/>
      <c r="D927" s="70"/>
      <c r="E927" s="70"/>
      <c r="AF927" s="29"/>
      <c r="AH927" s="29"/>
      <c r="AI927" s="29"/>
      <c r="AS927" s="29"/>
      <c r="AU927" s="29"/>
      <c r="AV927" s="29"/>
      <c r="AX927" s="29"/>
      <c r="BC927" s="29"/>
      <c r="BD927" s="29"/>
    </row>
    <row r="928">
      <c r="B928" s="70"/>
      <c r="C928" s="70"/>
      <c r="D928" s="70"/>
      <c r="E928" s="70"/>
      <c r="AF928" s="29"/>
      <c r="AH928" s="29"/>
      <c r="AI928" s="29"/>
      <c r="AS928" s="29"/>
      <c r="AU928" s="29"/>
      <c r="AV928" s="29"/>
      <c r="AX928" s="29"/>
      <c r="BC928" s="29"/>
      <c r="BD928" s="29"/>
    </row>
    <row r="929">
      <c r="B929" s="70"/>
      <c r="C929" s="70"/>
      <c r="D929" s="70"/>
      <c r="E929" s="70"/>
      <c r="AF929" s="29"/>
      <c r="AH929" s="29"/>
      <c r="AI929" s="29"/>
      <c r="AS929" s="29"/>
      <c r="AU929" s="29"/>
      <c r="AV929" s="29"/>
      <c r="AX929" s="29"/>
      <c r="BC929" s="29"/>
      <c r="BD929" s="29"/>
    </row>
    <row r="930">
      <c r="B930" s="70"/>
      <c r="C930" s="70"/>
      <c r="D930" s="70"/>
      <c r="E930" s="70"/>
      <c r="AF930" s="29"/>
      <c r="AH930" s="29"/>
      <c r="AI930" s="29"/>
      <c r="AS930" s="29"/>
      <c r="AU930" s="29"/>
      <c r="AV930" s="29"/>
      <c r="AX930" s="29"/>
      <c r="BC930" s="29"/>
      <c r="BD930" s="29"/>
    </row>
    <row r="931">
      <c r="B931" s="70"/>
      <c r="C931" s="70"/>
      <c r="D931" s="70"/>
      <c r="E931" s="70"/>
      <c r="AF931" s="29"/>
      <c r="AH931" s="29"/>
      <c r="AI931" s="29"/>
      <c r="AS931" s="29"/>
      <c r="AU931" s="29"/>
      <c r="AV931" s="29"/>
      <c r="AX931" s="29"/>
      <c r="BC931" s="29"/>
      <c r="BD931" s="29"/>
    </row>
    <row r="932">
      <c r="B932" s="70"/>
      <c r="C932" s="70"/>
      <c r="D932" s="70"/>
      <c r="E932" s="70"/>
      <c r="AF932" s="29"/>
      <c r="AH932" s="29"/>
      <c r="AI932" s="29"/>
      <c r="AS932" s="29"/>
      <c r="AU932" s="29"/>
      <c r="AV932" s="29"/>
      <c r="AX932" s="29"/>
      <c r="BC932" s="29"/>
      <c r="BD932" s="29"/>
    </row>
    <row r="933">
      <c r="B933" s="70"/>
      <c r="C933" s="70"/>
      <c r="D933" s="70"/>
      <c r="E933" s="70"/>
      <c r="AF933" s="29"/>
      <c r="AH933" s="29"/>
      <c r="AI933" s="29"/>
      <c r="AS933" s="29"/>
      <c r="AU933" s="29"/>
      <c r="AV933" s="29"/>
      <c r="AX933" s="29"/>
      <c r="BC933" s="29"/>
      <c r="BD933" s="29"/>
    </row>
    <row r="934">
      <c r="B934" s="70"/>
      <c r="C934" s="70"/>
      <c r="D934" s="70"/>
      <c r="E934" s="70"/>
      <c r="AF934" s="29"/>
      <c r="AH934" s="29"/>
      <c r="AI934" s="29"/>
      <c r="AS934" s="29"/>
      <c r="AU934" s="29"/>
      <c r="AV934" s="29"/>
      <c r="AX934" s="29"/>
      <c r="BC934" s="29"/>
      <c r="BD934" s="29"/>
    </row>
    <row r="935">
      <c r="B935" s="70"/>
      <c r="C935" s="70"/>
      <c r="D935" s="70"/>
      <c r="E935" s="70"/>
      <c r="AF935" s="29"/>
      <c r="AH935" s="29"/>
      <c r="AI935" s="29"/>
      <c r="AS935" s="29"/>
      <c r="AU935" s="29"/>
      <c r="AV935" s="29"/>
      <c r="AX935" s="29"/>
      <c r="BC935" s="29"/>
      <c r="BD935" s="29"/>
    </row>
    <row r="936">
      <c r="B936" s="70"/>
      <c r="C936" s="70"/>
      <c r="D936" s="70"/>
      <c r="E936" s="70"/>
      <c r="AF936" s="29"/>
      <c r="AH936" s="29"/>
      <c r="AI936" s="29"/>
      <c r="AS936" s="29"/>
      <c r="AU936" s="29"/>
      <c r="AV936" s="29"/>
      <c r="AX936" s="29"/>
      <c r="BC936" s="29"/>
      <c r="BD936" s="29"/>
    </row>
    <row r="937">
      <c r="B937" s="70"/>
      <c r="C937" s="70"/>
      <c r="D937" s="70"/>
      <c r="E937" s="70"/>
      <c r="AF937" s="29"/>
      <c r="AH937" s="29"/>
      <c r="AI937" s="29"/>
      <c r="AS937" s="29"/>
      <c r="AU937" s="29"/>
      <c r="AV937" s="29"/>
      <c r="AX937" s="29"/>
      <c r="BC937" s="29"/>
      <c r="BD937" s="29"/>
    </row>
    <row r="938">
      <c r="B938" s="70"/>
      <c r="C938" s="70"/>
      <c r="D938" s="70"/>
      <c r="E938" s="70"/>
      <c r="AF938" s="29"/>
      <c r="AH938" s="29"/>
      <c r="AI938" s="29"/>
      <c r="AS938" s="29"/>
      <c r="AU938" s="29"/>
      <c r="AV938" s="29"/>
      <c r="AX938" s="29"/>
      <c r="BC938" s="29"/>
      <c r="BD938" s="29"/>
    </row>
    <row r="939">
      <c r="B939" s="70"/>
      <c r="C939" s="70"/>
      <c r="D939" s="70"/>
      <c r="E939" s="70"/>
      <c r="AF939" s="29"/>
      <c r="AH939" s="29"/>
      <c r="AI939" s="29"/>
      <c r="AS939" s="29"/>
      <c r="AU939" s="29"/>
      <c r="AV939" s="29"/>
      <c r="AX939" s="29"/>
      <c r="BC939" s="29"/>
      <c r="BD939" s="29"/>
    </row>
    <row r="940">
      <c r="B940" s="70"/>
      <c r="C940" s="70"/>
      <c r="D940" s="70"/>
      <c r="E940" s="70"/>
      <c r="AF940" s="29"/>
      <c r="AH940" s="29"/>
      <c r="AI940" s="29"/>
      <c r="AS940" s="29"/>
      <c r="AU940" s="29"/>
      <c r="AV940" s="29"/>
      <c r="AX940" s="29"/>
      <c r="BC940" s="29"/>
      <c r="BD940" s="29"/>
    </row>
    <row r="941">
      <c r="B941" s="70"/>
      <c r="C941" s="70"/>
      <c r="D941" s="70"/>
      <c r="E941" s="70"/>
      <c r="AF941" s="29"/>
      <c r="AH941" s="29"/>
      <c r="AI941" s="29"/>
      <c r="AS941" s="29"/>
      <c r="AU941" s="29"/>
      <c r="AV941" s="29"/>
      <c r="AX941" s="29"/>
      <c r="BC941" s="29"/>
      <c r="BD941" s="29"/>
    </row>
    <row r="942">
      <c r="B942" s="70"/>
      <c r="C942" s="70"/>
      <c r="D942" s="70"/>
      <c r="E942" s="70"/>
      <c r="AF942" s="29"/>
      <c r="AH942" s="29"/>
      <c r="AI942" s="29"/>
      <c r="AS942" s="29"/>
      <c r="AU942" s="29"/>
      <c r="AV942" s="29"/>
      <c r="AX942" s="29"/>
      <c r="BC942" s="29"/>
      <c r="BD942" s="29"/>
    </row>
    <row r="943">
      <c r="B943" s="70"/>
      <c r="C943" s="70"/>
      <c r="D943" s="70"/>
      <c r="E943" s="70"/>
      <c r="AF943" s="29"/>
      <c r="AH943" s="29"/>
      <c r="AI943" s="29"/>
      <c r="AS943" s="29"/>
      <c r="AU943" s="29"/>
      <c r="AV943" s="29"/>
      <c r="AX943" s="29"/>
      <c r="BC943" s="29"/>
      <c r="BD943" s="29"/>
    </row>
    <row r="944">
      <c r="B944" s="70"/>
      <c r="C944" s="70"/>
      <c r="D944" s="70"/>
      <c r="E944" s="70"/>
      <c r="AF944" s="29"/>
      <c r="AH944" s="29"/>
      <c r="AI944" s="29"/>
      <c r="AS944" s="29"/>
      <c r="AU944" s="29"/>
      <c r="AV944" s="29"/>
      <c r="AX944" s="29"/>
      <c r="BC944" s="29"/>
      <c r="BD944" s="29"/>
    </row>
    <row r="945">
      <c r="B945" s="70"/>
      <c r="C945" s="70"/>
      <c r="D945" s="70"/>
      <c r="E945" s="70"/>
      <c r="AF945" s="29"/>
      <c r="AH945" s="29"/>
      <c r="AI945" s="29"/>
      <c r="AS945" s="29"/>
      <c r="AU945" s="29"/>
      <c r="AV945" s="29"/>
      <c r="AX945" s="29"/>
      <c r="BC945" s="29"/>
      <c r="BD945" s="29"/>
    </row>
    <row r="946">
      <c r="B946" s="70"/>
      <c r="C946" s="70"/>
      <c r="D946" s="70"/>
      <c r="E946" s="70"/>
      <c r="AF946" s="29"/>
      <c r="AH946" s="29"/>
      <c r="AI946" s="29"/>
      <c r="AS946" s="29"/>
      <c r="AU946" s="29"/>
      <c r="AV946" s="29"/>
      <c r="AX946" s="29"/>
      <c r="BC946" s="29"/>
      <c r="BD946" s="29"/>
    </row>
    <row r="947">
      <c r="B947" s="70"/>
      <c r="C947" s="70"/>
      <c r="D947" s="70"/>
      <c r="E947" s="70"/>
      <c r="AF947" s="29"/>
      <c r="AH947" s="29"/>
      <c r="AI947" s="29"/>
      <c r="AS947" s="29"/>
      <c r="AU947" s="29"/>
      <c r="AV947" s="29"/>
      <c r="AX947" s="29"/>
      <c r="BC947" s="29"/>
      <c r="BD947" s="29"/>
    </row>
    <row r="948">
      <c r="B948" s="70"/>
      <c r="C948" s="70"/>
      <c r="D948" s="70"/>
      <c r="E948" s="70"/>
      <c r="AF948" s="29"/>
      <c r="AH948" s="29"/>
      <c r="AI948" s="29"/>
      <c r="AS948" s="29"/>
      <c r="AU948" s="29"/>
      <c r="AV948" s="29"/>
      <c r="AX948" s="29"/>
      <c r="BC948" s="29"/>
      <c r="BD948" s="29"/>
    </row>
    <row r="949">
      <c r="B949" s="70"/>
      <c r="C949" s="70"/>
      <c r="D949" s="70"/>
      <c r="E949" s="70"/>
      <c r="AF949" s="29"/>
      <c r="AH949" s="29"/>
      <c r="AI949" s="29"/>
      <c r="AS949" s="29"/>
      <c r="AU949" s="29"/>
      <c r="AV949" s="29"/>
      <c r="AX949" s="29"/>
      <c r="BC949" s="29"/>
      <c r="BD949" s="29"/>
    </row>
    <row r="950">
      <c r="B950" s="70"/>
      <c r="C950" s="70"/>
      <c r="D950" s="70"/>
      <c r="E950" s="70"/>
      <c r="AF950" s="29"/>
      <c r="AH950" s="29"/>
      <c r="AI950" s="29"/>
      <c r="AS950" s="29"/>
      <c r="AU950" s="29"/>
      <c r="AV950" s="29"/>
      <c r="AX950" s="29"/>
      <c r="BC950" s="29"/>
      <c r="BD950" s="29"/>
    </row>
    <row r="951">
      <c r="B951" s="70"/>
      <c r="C951" s="70"/>
      <c r="D951" s="70"/>
      <c r="E951" s="70"/>
      <c r="AF951" s="29"/>
      <c r="AH951" s="29"/>
      <c r="AI951" s="29"/>
      <c r="AS951" s="29"/>
      <c r="AU951" s="29"/>
      <c r="AV951" s="29"/>
      <c r="AX951" s="29"/>
      <c r="BC951" s="29"/>
      <c r="BD951" s="29"/>
    </row>
    <row r="952">
      <c r="B952" s="70"/>
      <c r="C952" s="70"/>
      <c r="D952" s="70"/>
      <c r="E952" s="70"/>
      <c r="AF952" s="29"/>
      <c r="AH952" s="29"/>
      <c r="AI952" s="29"/>
      <c r="AS952" s="29"/>
      <c r="AU952" s="29"/>
      <c r="AV952" s="29"/>
      <c r="AX952" s="29"/>
      <c r="BC952" s="29"/>
      <c r="BD952" s="29"/>
    </row>
    <row r="953">
      <c r="B953" s="70"/>
      <c r="C953" s="70"/>
      <c r="D953" s="70"/>
      <c r="E953" s="70"/>
      <c r="AF953" s="29"/>
      <c r="AH953" s="29"/>
      <c r="AI953" s="29"/>
      <c r="AS953" s="29"/>
      <c r="AU953" s="29"/>
      <c r="AV953" s="29"/>
      <c r="AX953" s="29"/>
      <c r="BC953" s="29"/>
      <c r="BD953" s="29"/>
    </row>
    <row r="954">
      <c r="B954" s="70"/>
      <c r="C954" s="70"/>
      <c r="D954" s="70"/>
      <c r="E954" s="70"/>
      <c r="AF954" s="29"/>
      <c r="AH954" s="29"/>
      <c r="AI954" s="29"/>
      <c r="AS954" s="29"/>
      <c r="AU954" s="29"/>
      <c r="AV954" s="29"/>
      <c r="AX954" s="29"/>
      <c r="BC954" s="29"/>
      <c r="BD954" s="29"/>
    </row>
    <row r="955">
      <c r="B955" s="70"/>
      <c r="C955" s="70"/>
      <c r="D955" s="70"/>
      <c r="E955" s="70"/>
      <c r="AF955" s="29"/>
      <c r="AH955" s="29"/>
      <c r="AI955" s="29"/>
      <c r="AS955" s="29"/>
      <c r="AU955" s="29"/>
      <c r="AV955" s="29"/>
      <c r="AX955" s="29"/>
      <c r="BC955" s="29"/>
      <c r="BD955" s="29"/>
    </row>
    <row r="956">
      <c r="B956" s="70"/>
      <c r="C956" s="70"/>
      <c r="D956" s="70"/>
      <c r="E956" s="70"/>
      <c r="AF956" s="29"/>
      <c r="AH956" s="29"/>
      <c r="AI956" s="29"/>
      <c r="AS956" s="29"/>
      <c r="AU956" s="29"/>
      <c r="AV956" s="29"/>
      <c r="AX956" s="29"/>
      <c r="BC956" s="29"/>
      <c r="BD956" s="29"/>
    </row>
    <row r="957">
      <c r="B957" s="70"/>
      <c r="C957" s="70"/>
      <c r="D957" s="70"/>
      <c r="E957" s="70"/>
      <c r="AF957" s="29"/>
      <c r="AH957" s="29"/>
      <c r="AI957" s="29"/>
      <c r="AS957" s="29"/>
      <c r="AU957" s="29"/>
      <c r="AV957" s="29"/>
      <c r="AX957" s="29"/>
      <c r="BC957" s="29"/>
      <c r="BD957" s="29"/>
    </row>
    <row r="958">
      <c r="B958" s="70"/>
      <c r="C958" s="70"/>
      <c r="D958" s="70"/>
      <c r="E958" s="70"/>
      <c r="AF958" s="29"/>
      <c r="AH958" s="29"/>
      <c r="AI958" s="29"/>
      <c r="AS958" s="29"/>
      <c r="AU958" s="29"/>
      <c r="AV958" s="29"/>
      <c r="AX958" s="29"/>
      <c r="BC958" s="29"/>
      <c r="BD958" s="29"/>
    </row>
    <row r="959">
      <c r="B959" s="70"/>
      <c r="C959" s="70"/>
      <c r="D959" s="70"/>
      <c r="E959" s="70"/>
      <c r="AF959" s="29"/>
      <c r="AH959" s="29"/>
      <c r="AI959" s="29"/>
      <c r="AS959" s="29"/>
      <c r="AU959" s="29"/>
      <c r="AV959" s="29"/>
      <c r="AX959" s="29"/>
      <c r="BC959" s="29"/>
      <c r="BD959" s="29"/>
    </row>
    <row r="960">
      <c r="B960" s="70"/>
      <c r="C960" s="70"/>
      <c r="D960" s="70"/>
      <c r="E960" s="70"/>
      <c r="AF960" s="29"/>
      <c r="AH960" s="29"/>
      <c r="AI960" s="29"/>
      <c r="AS960" s="29"/>
      <c r="AU960" s="29"/>
      <c r="AV960" s="29"/>
      <c r="AX960" s="29"/>
      <c r="BC960" s="29"/>
      <c r="BD960" s="29"/>
    </row>
    <row r="961">
      <c r="B961" s="70"/>
      <c r="C961" s="70"/>
      <c r="D961" s="70"/>
      <c r="E961" s="70"/>
      <c r="AF961" s="29"/>
      <c r="AH961" s="29"/>
      <c r="AI961" s="29"/>
      <c r="AS961" s="29"/>
      <c r="AU961" s="29"/>
      <c r="AV961" s="29"/>
      <c r="AX961" s="29"/>
      <c r="BC961" s="29"/>
      <c r="BD961" s="29"/>
    </row>
    <row r="962">
      <c r="B962" s="70"/>
      <c r="C962" s="70"/>
      <c r="D962" s="70"/>
      <c r="E962" s="70"/>
      <c r="AF962" s="29"/>
      <c r="AH962" s="29"/>
      <c r="AI962" s="29"/>
      <c r="AS962" s="29"/>
      <c r="AU962" s="29"/>
      <c r="AV962" s="29"/>
      <c r="AX962" s="29"/>
      <c r="BC962" s="29"/>
      <c r="BD962" s="29"/>
    </row>
    <row r="963">
      <c r="B963" s="70"/>
      <c r="C963" s="70"/>
      <c r="D963" s="70"/>
      <c r="E963" s="70"/>
      <c r="AF963" s="29"/>
      <c r="AH963" s="29"/>
      <c r="AI963" s="29"/>
      <c r="AS963" s="29"/>
      <c r="AU963" s="29"/>
      <c r="AV963" s="29"/>
      <c r="AX963" s="29"/>
      <c r="BC963" s="29"/>
      <c r="BD963" s="29"/>
    </row>
    <row r="964">
      <c r="B964" s="70"/>
      <c r="C964" s="70"/>
      <c r="D964" s="70"/>
      <c r="E964" s="70"/>
      <c r="AF964" s="29"/>
      <c r="AH964" s="29"/>
      <c r="AI964" s="29"/>
      <c r="AS964" s="29"/>
      <c r="AU964" s="29"/>
      <c r="AV964" s="29"/>
      <c r="AX964" s="29"/>
      <c r="BC964" s="29"/>
      <c r="BD964" s="29"/>
    </row>
    <row r="965">
      <c r="B965" s="70"/>
      <c r="C965" s="70"/>
      <c r="D965" s="70"/>
      <c r="E965" s="70"/>
      <c r="AF965" s="29"/>
      <c r="AH965" s="29"/>
      <c r="AI965" s="29"/>
      <c r="AS965" s="29"/>
      <c r="AU965" s="29"/>
      <c r="AV965" s="29"/>
      <c r="AX965" s="29"/>
      <c r="BC965" s="29"/>
      <c r="BD965" s="29"/>
    </row>
    <row r="966">
      <c r="B966" s="70"/>
      <c r="C966" s="70"/>
      <c r="D966" s="70"/>
      <c r="E966" s="70"/>
      <c r="AF966" s="29"/>
      <c r="AH966" s="29"/>
      <c r="AI966" s="29"/>
      <c r="AS966" s="29"/>
      <c r="AU966" s="29"/>
      <c r="AV966" s="29"/>
      <c r="AX966" s="29"/>
      <c r="BC966" s="29"/>
      <c r="BD966" s="29"/>
    </row>
    <row r="967">
      <c r="B967" s="70"/>
      <c r="C967" s="70"/>
      <c r="D967" s="70"/>
      <c r="E967" s="70"/>
      <c r="AF967" s="29"/>
      <c r="AH967" s="29"/>
      <c r="AI967" s="29"/>
      <c r="AS967" s="29"/>
      <c r="AU967" s="29"/>
      <c r="AV967" s="29"/>
      <c r="AX967" s="29"/>
      <c r="BC967" s="29"/>
      <c r="BD967" s="29"/>
    </row>
    <row r="968">
      <c r="B968" s="70"/>
      <c r="C968" s="70"/>
      <c r="D968" s="70"/>
      <c r="E968" s="70"/>
      <c r="AF968" s="29"/>
      <c r="AH968" s="29"/>
      <c r="AI968" s="29"/>
      <c r="AS968" s="29"/>
      <c r="AU968" s="29"/>
      <c r="AV968" s="29"/>
      <c r="AX968" s="29"/>
      <c r="BC968" s="29"/>
      <c r="BD968" s="29"/>
    </row>
    <row r="969">
      <c r="B969" s="70"/>
      <c r="C969" s="70"/>
      <c r="D969" s="70"/>
      <c r="E969" s="70"/>
      <c r="AF969" s="29"/>
      <c r="AH969" s="29"/>
      <c r="AI969" s="29"/>
      <c r="AS969" s="29"/>
      <c r="AU969" s="29"/>
      <c r="AV969" s="29"/>
      <c r="AX969" s="29"/>
      <c r="BC969" s="29"/>
      <c r="BD969" s="29"/>
    </row>
    <row r="970">
      <c r="B970" s="70"/>
      <c r="C970" s="70"/>
      <c r="D970" s="70"/>
      <c r="E970" s="70"/>
      <c r="AF970" s="29"/>
      <c r="AH970" s="29"/>
      <c r="AI970" s="29"/>
      <c r="AS970" s="29"/>
      <c r="AU970" s="29"/>
      <c r="AV970" s="29"/>
      <c r="AX970" s="29"/>
      <c r="BC970" s="29"/>
      <c r="BD970" s="29"/>
    </row>
    <row r="971">
      <c r="B971" s="70"/>
      <c r="C971" s="70"/>
      <c r="D971" s="70"/>
      <c r="E971" s="70"/>
      <c r="AF971" s="29"/>
      <c r="AH971" s="29"/>
      <c r="AI971" s="29"/>
      <c r="AS971" s="29"/>
      <c r="AU971" s="29"/>
      <c r="AV971" s="29"/>
      <c r="AX971" s="29"/>
      <c r="BC971" s="29"/>
      <c r="BD971" s="29"/>
    </row>
    <row r="972">
      <c r="B972" s="70"/>
      <c r="C972" s="70"/>
      <c r="D972" s="70"/>
      <c r="E972" s="70"/>
      <c r="AF972" s="29"/>
      <c r="AH972" s="29"/>
      <c r="AI972" s="29"/>
      <c r="AS972" s="29"/>
      <c r="AU972" s="29"/>
      <c r="AV972" s="29"/>
      <c r="AX972" s="29"/>
      <c r="BC972" s="29"/>
      <c r="BD972" s="29"/>
    </row>
    <row r="973">
      <c r="B973" s="70"/>
      <c r="C973" s="70"/>
      <c r="D973" s="70"/>
      <c r="E973" s="70"/>
      <c r="AF973" s="29"/>
      <c r="AH973" s="29"/>
      <c r="AI973" s="29"/>
      <c r="AS973" s="29"/>
      <c r="AU973" s="29"/>
      <c r="AV973" s="29"/>
      <c r="AX973" s="29"/>
      <c r="BC973" s="29"/>
      <c r="BD973" s="29"/>
    </row>
    <row r="974">
      <c r="B974" s="70"/>
      <c r="C974" s="70"/>
      <c r="D974" s="70"/>
      <c r="E974" s="70"/>
      <c r="AF974" s="29"/>
      <c r="AH974" s="29"/>
      <c r="AI974" s="29"/>
      <c r="AS974" s="29"/>
      <c r="AU974" s="29"/>
      <c r="AV974" s="29"/>
      <c r="AX974" s="29"/>
      <c r="BC974" s="29"/>
      <c r="BD974" s="29"/>
    </row>
    <row r="975">
      <c r="B975" s="70"/>
      <c r="C975" s="70"/>
      <c r="D975" s="70"/>
      <c r="E975" s="70"/>
      <c r="AF975" s="29"/>
      <c r="AH975" s="29"/>
      <c r="AI975" s="29"/>
      <c r="AS975" s="29"/>
      <c r="AU975" s="29"/>
      <c r="AV975" s="29"/>
      <c r="AX975" s="29"/>
      <c r="BC975" s="29"/>
      <c r="BD975" s="29"/>
    </row>
    <row r="976">
      <c r="B976" s="70"/>
      <c r="C976" s="70"/>
      <c r="D976" s="70"/>
      <c r="E976" s="70"/>
      <c r="AF976" s="29"/>
      <c r="AH976" s="29"/>
      <c r="AI976" s="29"/>
      <c r="AS976" s="29"/>
      <c r="AU976" s="29"/>
      <c r="AV976" s="29"/>
      <c r="AX976" s="29"/>
      <c r="BC976" s="29"/>
      <c r="BD976" s="29"/>
    </row>
    <row r="977">
      <c r="B977" s="70"/>
      <c r="C977" s="70"/>
      <c r="D977" s="70"/>
      <c r="E977" s="70"/>
      <c r="AF977" s="29"/>
      <c r="AH977" s="29"/>
      <c r="AI977" s="29"/>
      <c r="AS977" s="29"/>
      <c r="AU977" s="29"/>
      <c r="AV977" s="29"/>
      <c r="AX977" s="29"/>
      <c r="BC977" s="29"/>
      <c r="BD977" s="29"/>
    </row>
    <row r="978">
      <c r="B978" s="70"/>
      <c r="C978" s="70"/>
      <c r="D978" s="70"/>
      <c r="E978" s="70"/>
      <c r="AF978" s="29"/>
      <c r="AH978" s="29"/>
      <c r="AI978" s="29"/>
      <c r="AS978" s="29"/>
      <c r="AU978" s="29"/>
      <c r="AV978" s="29"/>
      <c r="AX978" s="29"/>
      <c r="BC978" s="29"/>
      <c r="BD978" s="29"/>
    </row>
    <row r="979">
      <c r="B979" s="70"/>
      <c r="C979" s="70"/>
      <c r="D979" s="70"/>
      <c r="E979" s="70"/>
      <c r="AF979" s="29"/>
      <c r="AH979" s="29"/>
      <c r="AI979" s="29"/>
      <c r="AS979" s="29"/>
      <c r="AU979" s="29"/>
      <c r="AV979" s="29"/>
      <c r="AX979" s="29"/>
      <c r="BC979" s="29"/>
      <c r="BD979" s="29"/>
    </row>
    <row r="980">
      <c r="B980" s="70"/>
      <c r="C980" s="70"/>
      <c r="D980" s="70"/>
      <c r="E980" s="70"/>
      <c r="AF980" s="29"/>
      <c r="AH980" s="29"/>
      <c r="AI980" s="29"/>
      <c r="AS980" s="29"/>
      <c r="AU980" s="29"/>
      <c r="AV980" s="29"/>
      <c r="AX980" s="29"/>
      <c r="BC980" s="29"/>
      <c r="BD980" s="29"/>
    </row>
    <row r="981">
      <c r="B981" s="70"/>
      <c r="C981" s="70"/>
      <c r="D981" s="70"/>
      <c r="E981" s="70"/>
      <c r="AF981" s="29"/>
      <c r="AH981" s="29"/>
      <c r="AI981" s="29"/>
      <c r="AS981" s="29"/>
      <c r="AU981" s="29"/>
      <c r="AV981" s="29"/>
      <c r="AX981" s="29"/>
      <c r="BC981" s="29"/>
      <c r="BD981" s="29"/>
    </row>
    <row r="982">
      <c r="B982" s="70"/>
      <c r="C982" s="70"/>
      <c r="D982" s="70"/>
      <c r="E982" s="70"/>
      <c r="AF982" s="29"/>
      <c r="AH982" s="29"/>
      <c r="AI982" s="29"/>
      <c r="AS982" s="29"/>
      <c r="AU982" s="29"/>
      <c r="AV982" s="29"/>
      <c r="AX982" s="29"/>
      <c r="BC982" s="29"/>
      <c r="BD982" s="29"/>
    </row>
    <row r="983">
      <c r="B983" s="70"/>
      <c r="C983" s="70"/>
      <c r="D983" s="70"/>
      <c r="E983" s="70"/>
      <c r="AF983" s="29"/>
      <c r="AH983" s="29"/>
      <c r="AI983" s="29"/>
      <c r="AS983" s="29"/>
      <c r="AU983" s="29"/>
      <c r="AV983" s="29"/>
      <c r="AX983" s="29"/>
      <c r="BC983" s="29"/>
      <c r="BD983" s="29"/>
    </row>
    <row r="984">
      <c r="B984" s="70"/>
      <c r="C984" s="70"/>
      <c r="D984" s="70"/>
      <c r="E984" s="70"/>
      <c r="AF984" s="29"/>
      <c r="AH984" s="29"/>
      <c r="AI984" s="29"/>
      <c r="AS984" s="29"/>
      <c r="AU984" s="29"/>
      <c r="AV984" s="29"/>
      <c r="AX984" s="29"/>
      <c r="BC984" s="29"/>
      <c r="BD984" s="29"/>
    </row>
    <row r="985">
      <c r="B985" s="70"/>
      <c r="C985" s="70"/>
      <c r="D985" s="70"/>
      <c r="E985" s="70"/>
      <c r="AF985" s="29"/>
      <c r="AH985" s="29"/>
      <c r="AI985" s="29"/>
      <c r="AS985" s="29"/>
      <c r="AU985" s="29"/>
      <c r="AV985" s="29"/>
      <c r="AX985" s="29"/>
      <c r="BC985" s="29"/>
      <c r="BD985" s="29"/>
    </row>
    <row r="986">
      <c r="B986" s="70"/>
      <c r="C986" s="70"/>
      <c r="D986" s="70"/>
      <c r="E986" s="70"/>
      <c r="AF986" s="29"/>
      <c r="AH986" s="29"/>
      <c r="AI986" s="29"/>
      <c r="AS986" s="29"/>
      <c r="AU986" s="29"/>
      <c r="AV986" s="29"/>
      <c r="AX986" s="29"/>
      <c r="BC986" s="29"/>
      <c r="BD986" s="29"/>
    </row>
    <row r="987">
      <c r="B987" s="70"/>
      <c r="C987" s="70"/>
      <c r="D987" s="70"/>
      <c r="E987" s="70"/>
      <c r="AF987" s="29"/>
      <c r="AH987" s="29"/>
      <c r="AI987" s="29"/>
      <c r="AS987" s="29"/>
      <c r="AU987" s="29"/>
      <c r="AV987" s="29"/>
      <c r="AX987" s="29"/>
      <c r="BC987" s="29"/>
      <c r="BD987" s="29"/>
    </row>
    <row r="988">
      <c r="B988" s="70"/>
      <c r="C988" s="70"/>
      <c r="D988" s="70"/>
      <c r="E988" s="70"/>
      <c r="AF988" s="29"/>
      <c r="AH988" s="29"/>
      <c r="AI988" s="29"/>
      <c r="AS988" s="29"/>
      <c r="AU988" s="29"/>
      <c r="AV988" s="29"/>
      <c r="AX988" s="29"/>
      <c r="BC988" s="29"/>
      <c r="BD988" s="29"/>
    </row>
    <row r="989">
      <c r="B989" s="70"/>
      <c r="C989" s="70"/>
      <c r="D989" s="70"/>
      <c r="E989" s="70"/>
      <c r="AF989" s="29"/>
      <c r="AH989" s="29"/>
      <c r="AI989" s="29"/>
      <c r="AS989" s="29"/>
      <c r="AU989" s="29"/>
      <c r="AV989" s="29"/>
      <c r="AX989" s="29"/>
      <c r="BC989" s="29"/>
      <c r="BD989" s="29"/>
    </row>
    <row r="990">
      <c r="B990" s="70"/>
      <c r="C990" s="70"/>
      <c r="D990" s="70"/>
      <c r="E990" s="70"/>
      <c r="AF990" s="29"/>
      <c r="AH990" s="29"/>
      <c r="AI990" s="29"/>
      <c r="AS990" s="29"/>
      <c r="AU990" s="29"/>
      <c r="AV990" s="29"/>
      <c r="AX990" s="29"/>
      <c r="BC990" s="29"/>
      <c r="BD990" s="29"/>
    </row>
    <row r="991">
      <c r="B991" s="70"/>
      <c r="C991" s="70"/>
      <c r="D991" s="70"/>
      <c r="E991" s="70"/>
      <c r="AF991" s="29"/>
      <c r="AH991" s="29"/>
      <c r="AI991" s="29"/>
      <c r="AS991" s="29"/>
      <c r="AU991" s="29"/>
      <c r="AV991" s="29"/>
      <c r="AX991" s="29"/>
      <c r="BC991" s="29"/>
      <c r="BD991" s="29"/>
    </row>
    <row r="992">
      <c r="B992" s="70"/>
      <c r="C992" s="70"/>
      <c r="D992" s="70"/>
      <c r="E992" s="70"/>
      <c r="AF992" s="29"/>
      <c r="AH992" s="29"/>
      <c r="AI992" s="29"/>
      <c r="AS992" s="29"/>
      <c r="AU992" s="29"/>
      <c r="AV992" s="29"/>
      <c r="AX992" s="29"/>
      <c r="BC992" s="29"/>
      <c r="BD992" s="29"/>
    </row>
    <row r="993">
      <c r="B993" s="70"/>
      <c r="C993" s="70"/>
      <c r="D993" s="70"/>
      <c r="E993" s="70"/>
      <c r="AF993" s="29"/>
      <c r="AH993" s="29"/>
      <c r="AI993" s="29"/>
      <c r="AS993" s="29"/>
      <c r="AU993" s="29"/>
      <c r="AV993" s="29"/>
      <c r="AX993" s="29"/>
      <c r="BC993" s="29"/>
      <c r="BD993" s="29"/>
    </row>
    <row r="994">
      <c r="B994" s="70"/>
      <c r="C994" s="70"/>
      <c r="D994" s="70"/>
      <c r="E994" s="70"/>
      <c r="AF994" s="29"/>
      <c r="AH994" s="29"/>
      <c r="AI994" s="29"/>
      <c r="AS994" s="29"/>
      <c r="AU994" s="29"/>
      <c r="AV994" s="29"/>
      <c r="AX994" s="29"/>
      <c r="BC994" s="29"/>
      <c r="BD994" s="29"/>
    </row>
    <row r="995">
      <c r="B995" s="70"/>
      <c r="C995" s="70"/>
      <c r="D995" s="70"/>
      <c r="E995" s="70"/>
      <c r="AF995" s="29"/>
      <c r="AH995" s="29"/>
      <c r="AI995" s="29"/>
      <c r="AS995" s="29"/>
      <c r="AU995" s="29"/>
      <c r="AV995" s="29"/>
      <c r="AX995" s="29"/>
      <c r="BC995" s="29"/>
      <c r="BD995" s="29"/>
    </row>
    <row r="996">
      <c r="B996" s="70"/>
      <c r="C996" s="70"/>
      <c r="D996" s="70"/>
      <c r="E996" s="70"/>
      <c r="AF996" s="29"/>
      <c r="AH996" s="29"/>
      <c r="AI996" s="29"/>
      <c r="AS996" s="29"/>
      <c r="AU996" s="29"/>
      <c r="AV996" s="29"/>
      <c r="AX996" s="29"/>
      <c r="BC996" s="29"/>
      <c r="BD996" s="29"/>
    </row>
    <row r="997">
      <c r="B997" s="70"/>
      <c r="C997" s="70"/>
      <c r="D997" s="70"/>
      <c r="E997" s="70"/>
      <c r="AF997" s="29"/>
      <c r="AH997" s="29"/>
      <c r="AI997" s="29"/>
      <c r="AS997" s="29"/>
      <c r="AU997" s="29"/>
      <c r="AV997" s="29"/>
      <c r="AX997" s="29"/>
      <c r="BC997" s="29"/>
      <c r="BD997" s="29"/>
    </row>
    <row r="998">
      <c r="B998" s="70"/>
      <c r="C998" s="70"/>
      <c r="D998" s="70"/>
      <c r="E998" s="70"/>
      <c r="AF998" s="29"/>
      <c r="AH998" s="29"/>
      <c r="AI998" s="29"/>
      <c r="AS998" s="29"/>
      <c r="AU998" s="29"/>
      <c r="AV998" s="29"/>
      <c r="AX998" s="29"/>
      <c r="BC998" s="29"/>
      <c r="BD998" s="29"/>
    </row>
    <row r="999">
      <c r="B999" s="70"/>
      <c r="C999" s="70"/>
      <c r="D999" s="70"/>
      <c r="E999" s="70"/>
      <c r="AF999" s="29"/>
      <c r="AH999" s="29"/>
      <c r="AI999" s="29"/>
      <c r="AS999" s="29"/>
      <c r="AU999" s="29"/>
      <c r="AV999" s="29"/>
      <c r="AX999" s="29"/>
      <c r="BC999" s="29"/>
      <c r="BD999" s="29"/>
    </row>
    <row r="1000">
      <c r="B1000" s="70"/>
      <c r="C1000" s="70"/>
      <c r="D1000" s="70"/>
      <c r="E1000" s="70"/>
      <c r="AF1000" s="29"/>
      <c r="AH1000" s="29"/>
      <c r="AI1000" s="29"/>
      <c r="AS1000" s="29"/>
      <c r="AU1000" s="29"/>
      <c r="AV1000" s="29"/>
      <c r="AX1000" s="29"/>
      <c r="BC1000" s="29"/>
      <c r="BD1000" s="29"/>
    </row>
    <row r="1001">
      <c r="B1001" s="70"/>
      <c r="C1001" s="70"/>
      <c r="D1001" s="70"/>
      <c r="E1001" s="70"/>
      <c r="AF1001" s="29"/>
      <c r="AH1001" s="29"/>
      <c r="AI1001" s="29"/>
      <c r="AS1001" s="29"/>
      <c r="AU1001" s="29"/>
      <c r="AV1001" s="29"/>
      <c r="AX1001" s="29"/>
      <c r="BC1001" s="29"/>
      <c r="BD1001" s="29"/>
    </row>
    <row r="1002">
      <c r="B1002" s="70"/>
      <c r="C1002" s="70"/>
      <c r="D1002" s="70"/>
      <c r="E1002" s="70"/>
      <c r="AF1002" s="29"/>
      <c r="AH1002" s="29"/>
      <c r="AI1002" s="29"/>
      <c r="AS1002" s="29"/>
      <c r="AU1002" s="29"/>
      <c r="AV1002" s="29"/>
      <c r="AX1002" s="29"/>
      <c r="BC1002" s="29"/>
      <c r="BD1002" s="29"/>
    </row>
    <row r="1003">
      <c r="B1003" s="70"/>
      <c r="C1003" s="70"/>
      <c r="D1003" s="70"/>
      <c r="E1003" s="70"/>
      <c r="AF1003" s="29"/>
      <c r="AH1003" s="29"/>
      <c r="AI1003" s="29"/>
      <c r="AS1003" s="29"/>
      <c r="AU1003" s="29"/>
      <c r="AV1003" s="29"/>
      <c r="AX1003" s="29"/>
      <c r="BC1003" s="29"/>
      <c r="BD1003" s="29"/>
    </row>
    <row r="1004">
      <c r="B1004" s="70"/>
      <c r="C1004" s="70"/>
      <c r="D1004" s="70"/>
      <c r="E1004" s="70"/>
      <c r="AF1004" s="29"/>
      <c r="AH1004" s="29"/>
      <c r="AI1004" s="29"/>
      <c r="AS1004" s="29"/>
      <c r="AU1004" s="29"/>
      <c r="AV1004" s="29"/>
      <c r="AX1004" s="29"/>
      <c r="BC1004" s="29"/>
      <c r="BD1004" s="29"/>
    </row>
    <row r="1005">
      <c r="B1005" s="70"/>
      <c r="C1005" s="70"/>
      <c r="D1005" s="70"/>
      <c r="E1005" s="70"/>
      <c r="AF1005" s="29"/>
      <c r="AH1005" s="29"/>
      <c r="AI1005" s="29"/>
      <c r="AS1005" s="29"/>
      <c r="AU1005" s="29"/>
      <c r="AV1005" s="29"/>
      <c r="AX1005" s="29"/>
      <c r="BC1005" s="29"/>
      <c r="BD1005" s="29"/>
    </row>
    <row r="1006">
      <c r="B1006" s="70"/>
      <c r="C1006" s="70"/>
      <c r="D1006" s="70"/>
      <c r="E1006" s="70"/>
      <c r="AF1006" s="29"/>
      <c r="AH1006" s="29"/>
      <c r="AI1006" s="29"/>
      <c r="AS1006" s="29"/>
      <c r="AU1006" s="29"/>
      <c r="AV1006" s="29"/>
      <c r="AX1006" s="29"/>
      <c r="BC1006" s="29"/>
      <c r="BD1006" s="29"/>
    </row>
    <row r="1007">
      <c r="B1007" s="70"/>
      <c r="C1007" s="70"/>
      <c r="D1007" s="70"/>
      <c r="E1007" s="70"/>
      <c r="AF1007" s="29"/>
      <c r="AH1007" s="29"/>
      <c r="AI1007" s="29"/>
      <c r="AS1007" s="29"/>
      <c r="AU1007" s="29"/>
      <c r="AV1007" s="29"/>
      <c r="AX1007" s="29"/>
      <c r="BC1007" s="29"/>
      <c r="BD1007" s="29"/>
    </row>
    <row r="1008">
      <c r="B1008" s="70"/>
      <c r="C1008" s="70"/>
      <c r="D1008" s="70"/>
      <c r="E1008" s="70"/>
      <c r="AF1008" s="29"/>
      <c r="AH1008" s="29"/>
      <c r="AI1008" s="29"/>
      <c r="AS1008" s="29"/>
      <c r="AU1008" s="29"/>
      <c r="AV1008" s="29"/>
      <c r="AX1008" s="29"/>
      <c r="BC1008" s="29"/>
      <c r="BD1008" s="29"/>
    </row>
    <row r="1009">
      <c r="B1009" s="70"/>
      <c r="C1009" s="70"/>
      <c r="D1009" s="70"/>
      <c r="E1009" s="70"/>
      <c r="AF1009" s="29"/>
      <c r="AH1009" s="29"/>
      <c r="AI1009" s="29"/>
      <c r="AS1009" s="29"/>
      <c r="AU1009" s="29"/>
      <c r="AV1009" s="29"/>
      <c r="AX1009" s="29"/>
      <c r="BC1009" s="29"/>
      <c r="BD1009" s="29"/>
    </row>
  </sheetData>
  <customSheetViews>
    <customSheetView guid="{5C7486D1-5394-47DE-9DCB-5522C71421AC}" filter="1" showAutoFilter="1">
      <autoFilter ref="$A$7:$BP$34">
        <filterColumn colId="0">
          <filters>
            <filter val="2011"/>
            <filter val="20210906"/>
            <filter val="1910"/>
            <filter val="2103"/>
            <filter val="2102"/>
            <filter val="ID &#10;项目编号"/>
            <filter val="项目标题"/>
            <filter val="2014"/>
          </filters>
        </filterColumn>
      </autoFilter>
    </customSheetView>
  </customSheetViews>
  <mergeCells count="4">
    <mergeCell ref="A8:B8"/>
    <mergeCell ref="D8:I8"/>
    <mergeCell ref="K8:N8"/>
    <mergeCell ref="O8:R8"/>
  </mergeCells>
  <dataValidations>
    <dataValidation type="list" allowBlank="1" sqref="G10:G34">
      <formula1>$G$1:$G$3</formula1>
    </dataValidation>
    <dataValidation type="list" allowBlank="1" sqref="F10:F34">
      <formula1>$F$1:$F$6</formula1>
    </dataValidation>
    <dataValidation type="list" allowBlank="1" sqref="H10:H34">
      <formula1>$H$1:$H$2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1.22" defaultRowHeight="15.0"/>
  <cols>
    <col customWidth="1" min="1" max="1" width="8.22"/>
    <col customWidth="1" min="2" max="3" width="17.0"/>
    <col customWidth="1" min="4" max="4" width="11.44"/>
    <col customWidth="1" min="5" max="5" width="11.56"/>
    <col customWidth="1" min="6" max="6" width="15.0"/>
    <col customWidth="1" min="7" max="7" width="16.78"/>
    <col customWidth="1" min="8" max="8" width="14.56"/>
    <col customWidth="1" min="9" max="9" width="12.11"/>
    <col customWidth="1" min="10" max="10" width="16.11"/>
    <col customWidth="1" min="11" max="11" width="17.0"/>
    <col customWidth="1" min="12" max="12" width="16.22"/>
    <col customWidth="1" min="13" max="13" width="23.22"/>
    <col customWidth="1" min="14" max="14" width="10.33"/>
    <col customWidth="1" min="15" max="15" width="12.67"/>
    <col customWidth="1" min="16" max="16" width="7.78"/>
    <col customWidth="1" min="17" max="19" width="11.67"/>
    <col customWidth="1" min="20" max="20" width="19.33"/>
    <col customWidth="1" min="21" max="21" width="14.11"/>
    <col customWidth="1" min="23" max="23" width="17.44"/>
    <col customWidth="1" min="24" max="24" width="20.33"/>
    <col customWidth="1" min="25" max="25" width="17.22"/>
    <col customWidth="1" min="26" max="28" width="23.89"/>
    <col customWidth="1" min="29" max="29" width="18.67"/>
    <col customWidth="1" min="30" max="30" width="26.56"/>
    <col customWidth="1" min="31" max="31" width="20.22"/>
    <col customWidth="1" min="32" max="32" width="17.44"/>
    <col customWidth="1" min="33" max="33" width="15.44"/>
    <col customWidth="1" min="34" max="34" width="11.33"/>
    <col customWidth="1" min="36" max="36" width="11.89"/>
    <col customWidth="1" min="37" max="37" width="23.0"/>
    <col customWidth="1" min="38" max="38" width="20.89"/>
    <col customWidth="1" min="39" max="39" width="12.44"/>
    <col customWidth="1" min="40" max="40" width="15.44"/>
    <col customWidth="1" min="42" max="42" width="14.33"/>
  </cols>
  <sheetData>
    <row r="1" ht="15.0" hidden="1" customHeight="1">
      <c r="A1" s="27"/>
      <c r="B1" s="28"/>
      <c r="C1" s="28"/>
      <c r="D1" s="28"/>
      <c r="E1" s="28"/>
      <c r="F1" s="27" t="s">
        <v>121</v>
      </c>
      <c r="G1" s="3" t="s">
        <v>122</v>
      </c>
      <c r="H1" s="27" t="s">
        <v>123</v>
      </c>
      <c r="I1" s="27" t="s">
        <v>124</v>
      </c>
      <c r="J1" s="27" t="s">
        <v>125</v>
      </c>
    </row>
    <row r="2" ht="15.0" hidden="1" customHeight="1">
      <c r="A2" s="27"/>
      <c r="B2" s="28"/>
      <c r="C2" s="28"/>
      <c r="D2" s="28"/>
      <c r="E2" s="28"/>
      <c r="F2" s="27" t="s">
        <v>126</v>
      </c>
      <c r="G2" s="30" t="s">
        <v>127</v>
      </c>
      <c r="H2" s="27" t="s">
        <v>128</v>
      </c>
      <c r="I2" s="27" t="s">
        <v>129</v>
      </c>
      <c r="J2" s="27" t="s">
        <v>130</v>
      </c>
    </row>
    <row r="3" ht="15.0" hidden="1" customHeight="1">
      <c r="A3" s="27"/>
      <c r="B3" s="28"/>
      <c r="C3" s="28"/>
      <c r="D3" s="28"/>
      <c r="E3" s="28"/>
      <c r="F3" s="27" t="s">
        <v>131</v>
      </c>
      <c r="G3" s="31" t="s">
        <v>132</v>
      </c>
      <c r="H3" s="27"/>
      <c r="I3" s="27" t="s">
        <v>133</v>
      </c>
      <c r="J3" s="27" t="s">
        <v>134</v>
      </c>
    </row>
    <row r="4" ht="15.0" hidden="1" customHeight="1">
      <c r="A4" s="27"/>
      <c r="B4" s="28"/>
      <c r="C4" s="28"/>
      <c r="D4" s="28"/>
      <c r="E4" s="28"/>
      <c r="F4" s="27" t="s">
        <v>135</v>
      </c>
      <c r="G4" s="27"/>
      <c r="H4" s="27"/>
      <c r="I4" s="27"/>
      <c r="J4" s="27"/>
    </row>
    <row r="5" ht="15.0" hidden="1" customHeight="1">
      <c r="A5" s="27"/>
      <c r="B5" s="28"/>
      <c r="C5" s="28"/>
      <c r="D5" s="28"/>
      <c r="E5" s="28"/>
      <c r="F5" s="27" t="s">
        <v>136</v>
      </c>
      <c r="G5" s="27"/>
      <c r="H5" s="27"/>
      <c r="I5" s="27"/>
      <c r="J5" s="27" t="s">
        <v>137</v>
      </c>
    </row>
    <row r="6" ht="15.0" hidden="1" customHeight="1">
      <c r="A6" s="27"/>
      <c r="B6" s="28"/>
      <c r="C6" s="28"/>
      <c r="D6" s="28"/>
      <c r="E6" s="28"/>
      <c r="F6" s="27" t="s">
        <v>138</v>
      </c>
      <c r="G6" s="27"/>
      <c r="H6" s="27"/>
      <c r="I6" s="27"/>
      <c r="J6" s="27" t="s">
        <v>139</v>
      </c>
    </row>
    <row r="7">
      <c r="A7" s="27" t="s">
        <v>140</v>
      </c>
      <c r="B7" s="28"/>
      <c r="C7" s="28"/>
      <c r="D7" s="28" t="s">
        <v>141</v>
      </c>
      <c r="E7" s="28"/>
      <c r="F7" s="27"/>
      <c r="G7" s="27"/>
      <c r="H7" s="27"/>
      <c r="I7" s="27"/>
      <c r="J7" s="27"/>
      <c r="K7" s="27" t="s">
        <v>142</v>
      </c>
    </row>
    <row r="8" ht="30.0" customHeight="1">
      <c r="A8" s="1" t="s">
        <v>0</v>
      </c>
      <c r="C8" s="1"/>
      <c r="D8" s="32" t="s">
        <v>370</v>
      </c>
      <c r="J8" s="33"/>
      <c r="K8" s="34" t="s">
        <v>144</v>
      </c>
      <c r="N8" s="35" t="s">
        <v>371</v>
      </c>
      <c r="R8" s="35"/>
      <c r="S8" s="35"/>
      <c r="T8" s="35"/>
      <c r="U8" s="2" t="s">
        <v>146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</row>
    <row r="9">
      <c r="A9" s="2" t="s">
        <v>1</v>
      </c>
      <c r="B9" s="1" t="s">
        <v>2</v>
      </c>
      <c r="C9" s="1" t="s">
        <v>372</v>
      </c>
      <c r="D9" s="32" t="s">
        <v>373</v>
      </c>
      <c r="E9" s="32" t="s">
        <v>148</v>
      </c>
      <c r="F9" s="33" t="s">
        <v>149</v>
      </c>
      <c r="G9" s="33" t="s">
        <v>150</v>
      </c>
      <c r="H9" s="33" t="s">
        <v>151</v>
      </c>
      <c r="I9" s="33" t="s">
        <v>152</v>
      </c>
      <c r="J9" s="33" t="s">
        <v>153</v>
      </c>
      <c r="K9" s="34" t="s">
        <v>154</v>
      </c>
      <c r="L9" s="34" t="s">
        <v>155</v>
      </c>
      <c r="M9" s="34" t="s">
        <v>374</v>
      </c>
      <c r="N9" s="35" t="s">
        <v>158</v>
      </c>
      <c r="O9" s="35" t="s">
        <v>375</v>
      </c>
      <c r="P9" s="35" t="s">
        <v>160</v>
      </c>
      <c r="Q9" s="35" t="s">
        <v>376</v>
      </c>
      <c r="R9" s="35" t="s">
        <v>162</v>
      </c>
      <c r="S9" s="35" t="s">
        <v>377</v>
      </c>
      <c r="T9" s="40" t="s">
        <v>166</v>
      </c>
      <c r="U9" s="2" t="s">
        <v>378</v>
      </c>
      <c r="V9" s="2" t="s">
        <v>379</v>
      </c>
      <c r="W9" s="2" t="s">
        <v>380</v>
      </c>
      <c r="X9" s="2" t="s">
        <v>381</v>
      </c>
      <c r="Y9" s="2" t="s">
        <v>382</v>
      </c>
      <c r="Z9" s="2" t="s">
        <v>383</v>
      </c>
      <c r="AA9" s="2" t="s">
        <v>195</v>
      </c>
      <c r="AB9" s="2" t="s">
        <v>384</v>
      </c>
      <c r="AC9" s="2" t="s">
        <v>385</v>
      </c>
      <c r="AD9" s="2" t="s">
        <v>386</v>
      </c>
      <c r="AE9" s="2" t="s">
        <v>387</v>
      </c>
      <c r="AF9" s="2" t="s">
        <v>388</v>
      </c>
      <c r="AG9" s="2" t="s">
        <v>389</v>
      </c>
      <c r="AH9" s="2" t="s">
        <v>390</v>
      </c>
      <c r="AI9" s="2" t="s">
        <v>210</v>
      </c>
      <c r="AJ9" s="2" t="s">
        <v>391</v>
      </c>
      <c r="AK9" s="2" t="s">
        <v>204</v>
      </c>
      <c r="AL9" s="2" t="s">
        <v>207</v>
      </c>
      <c r="AM9" s="2" t="s">
        <v>392</v>
      </c>
      <c r="AN9" s="2" t="s">
        <v>393</v>
      </c>
      <c r="AO9" s="2" t="s">
        <v>394</v>
      </c>
      <c r="AP9" s="2" t="s">
        <v>395</v>
      </c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</row>
    <row r="10" ht="45.0" customHeight="1">
      <c r="A10" s="43">
        <v>1910.0</v>
      </c>
      <c r="B10" s="44" t="s">
        <v>48</v>
      </c>
      <c r="C10" s="44" t="s">
        <v>49</v>
      </c>
      <c r="D10" s="44" t="s">
        <v>225</v>
      </c>
      <c r="E10" s="44" t="s">
        <v>226</v>
      </c>
      <c r="F10" s="43" t="s">
        <v>131</v>
      </c>
      <c r="G10" s="43" t="s">
        <v>132</v>
      </c>
      <c r="H10" s="43" t="s">
        <v>128</v>
      </c>
      <c r="I10" s="43" t="s">
        <v>223</v>
      </c>
      <c r="J10" s="43" t="s">
        <v>214</v>
      </c>
      <c r="K10" s="47"/>
      <c r="L10" s="47"/>
      <c r="M10" s="47"/>
      <c r="N10" s="43">
        <v>82020.0</v>
      </c>
      <c r="O10" s="43">
        <v>95620.0</v>
      </c>
      <c r="P10" s="43">
        <v>1.17</v>
      </c>
      <c r="Q10" s="53" t="s">
        <v>215</v>
      </c>
      <c r="R10" s="48" t="s">
        <v>255</v>
      </c>
      <c r="S10" s="48">
        <v>4.5</v>
      </c>
      <c r="T10" s="53" t="s">
        <v>396</v>
      </c>
      <c r="U10" s="49"/>
      <c r="V10" s="48"/>
      <c r="W10" s="49" t="s">
        <v>397</v>
      </c>
      <c r="X10" s="49" t="s">
        <v>398</v>
      </c>
      <c r="Y10" s="49" t="s">
        <v>399</v>
      </c>
      <c r="Z10" s="47"/>
      <c r="AA10" s="48" t="s">
        <v>400</v>
      </c>
      <c r="AB10" s="48" t="s">
        <v>400</v>
      </c>
      <c r="AC10" s="49" t="s">
        <v>397</v>
      </c>
      <c r="AD10" s="47"/>
      <c r="AE10" s="47"/>
      <c r="AF10" s="48" t="s">
        <v>401</v>
      </c>
      <c r="AG10" s="48" t="s">
        <v>402</v>
      </c>
      <c r="AH10" s="47"/>
      <c r="AI10" s="47"/>
      <c r="AJ10" s="43" t="s">
        <v>403</v>
      </c>
      <c r="AK10" s="47"/>
      <c r="AL10" s="47"/>
      <c r="AM10" s="48" t="s">
        <v>217</v>
      </c>
      <c r="AN10" s="48" t="s">
        <v>404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ht="45.0" customHeight="1">
      <c r="A11" s="43">
        <v>2011.0</v>
      </c>
      <c r="B11" s="44" t="s">
        <v>73</v>
      </c>
      <c r="C11" s="44" t="s">
        <v>74</v>
      </c>
      <c r="D11" s="44" t="s">
        <v>276</v>
      </c>
      <c r="E11" s="44" t="s">
        <v>277</v>
      </c>
      <c r="F11" s="50" t="s">
        <v>131</v>
      </c>
      <c r="G11" s="50" t="s">
        <v>132</v>
      </c>
      <c r="H11" s="43" t="s">
        <v>128</v>
      </c>
      <c r="I11" s="43" t="s">
        <v>405</v>
      </c>
      <c r="J11" s="43" t="s">
        <v>214</v>
      </c>
      <c r="K11" s="47"/>
      <c r="L11" s="47"/>
      <c r="M11" s="47"/>
      <c r="N11" s="43">
        <v>64962.9</v>
      </c>
      <c r="O11" s="52">
        <v>97443.9</v>
      </c>
      <c r="P11" s="50">
        <v>1.5</v>
      </c>
      <c r="Q11" s="53" t="s">
        <v>215</v>
      </c>
      <c r="R11" s="53" t="s">
        <v>316</v>
      </c>
      <c r="S11" s="53"/>
      <c r="T11" s="48"/>
      <c r="U11" s="56"/>
      <c r="V11" s="47"/>
      <c r="W11" s="48" t="s">
        <v>217</v>
      </c>
      <c r="X11" s="48" t="s">
        <v>217</v>
      </c>
      <c r="Y11" s="48"/>
      <c r="Z11" s="47"/>
      <c r="AA11" s="47"/>
      <c r="AB11" s="47"/>
      <c r="AC11" s="49"/>
      <c r="AD11" s="49"/>
      <c r="AE11" s="47"/>
      <c r="AF11" s="47"/>
      <c r="AG11" s="47"/>
      <c r="AH11" s="47"/>
      <c r="AI11" s="47"/>
      <c r="AJ11" s="47"/>
      <c r="AK11" s="49"/>
      <c r="AL11" s="47"/>
      <c r="AM11" s="49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>
      <c r="A12" s="43">
        <v>2013.0</v>
      </c>
      <c r="B12" s="44" t="s">
        <v>77</v>
      </c>
      <c r="C12" s="44" t="s">
        <v>78</v>
      </c>
      <c r="D12" s="44" t="s">
        <v>406</v>
      </c>
      <c r="E12" s="44" t="s">
        <v>407</v>
      </c>
      <c r="F12" s="50" t="s">
        <v>131</v>
      </c>
      <c r="G12" s="50" t="s">
        <v>132</v>
      </c>
      <c r="H12" s="43" t="s">
        <v>123</v>
      </c>
      <c r="I12" s="43" t="s">
        <v>405</v>
      </c>
      <c r="J12" s="44" t="s">
        <v>408</v>
      </c>
      <c r="K12" s="47"/>
      <c r="L12" s="47"/>
      <c r="M12" s="47"/>
      <c r="N12" s="48" t="s">
        <v>215</v>
      </c>
      <c r="O12" s="43">
        <v>1508.0</v>
      </c>
      <c r="P12" s="48" t="s">
        <v>215</v>
      </c>
      <c r="Q12" s="53" t="s">
        <v>215</v>
      </c>
      <c r="R12" s="53" t="s">
        <v>216</v>
      </c>
      <c r="S12" s="53" t="s">
        <v>215</v>
      </c>
      <c r="T12" s="48" t="s">
        <v>409</v>
      </c>
      <c r="U12" s="43">
        <v>23.27</v>
      </c>
      <c r="V12" s="53" t="s">
        <v>215</v>
      </c>
      <c r="W12" s="48" t="s">
        <v>217</v>
      </c>
      <c r="X12" s="72" t="s">
        <v>410</v>
      </c>
      <c r="Y12" s="53" t="s">
        <v>215</v>
      </c>
      <c r="Z12" s="43">
        <v>39.89</v>
      </c>
      <c r="AA12" s="43"/>
      <c r="AB12" s="43"/>
      <c r="AC12" s="43"/>
      <c r="AD12" s="43">
        <v>35.57</v>
      </c>
      <c r="AE12" s="43">
        <v>24.34</v>
      </c>
      <c r="AF12" s="53" t="s">
        <v>215</v>
      </c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ht="45.0" customHeight="1">
      <c r="A13" s="43">
        <v>2101.0</v>
      </c>
      <c r="B13" s="44" t="s">
        <v>84</v>
      </c>
      <c r="C13" s="44" t="s">
        <v>85</v>
      </c>
      <c r="D13" s="44" t="s">
        <v>411</v>
      </c>
      <c r="E13" s="44" t="s">
        <v>412</v>
      </c>
      <c r="F13" s="50" t="s">
        <v>131</v>
      </c>
      <c r="G13" s="50" t="s">
        <v>132</v>
      </c>
      <c r="H13" s="43" t="s">
        <v>123</v>
      </c>
      <c r="I13" s="43" t="s">
        <v>405</v>
      </c>
      <c r="J13" s="43" t="s">
        <v>214</v>
      </c>
      <c r="K13" s="47"/>
      <c r="L13" s="47"/>
      <c r="M13" s="47"/>
      <c r="N13" s="48" t="s">
        <v>215</v>
      </c>
      <c r="O13" s="54">
        <v>6310.5</v>
      </c>
      <c r="P13" s="48" t="s">
        <v>215</v>
      </c>
      <c r="Q13" s="48" t="s">
        <v>215</v>
      </c>
      <c r="R13" s="48" t="s">
        <v>297</v>
      </c>
      <c r="S13" s="48" t="s">
        <v>215</v>
      </c>
      <c r="T13" s="48" t="s">
        <v>215</v>
      </c>
      <c r="U13" s="48" t="s">
        <v>215</v>
      </c>
      <c r="V13" s="48" t="s">
        <v>217</v>
      </c>
      <c r="W13" s="48" t="s">
        <v>215</v>
      </c>
      <c r="X13" s="48" t="s">
        <v>215</v>
      </c>
      <c r="Y13" s="48" t="s">
        <v>217</v>
      </c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ht="45.0" customHeight="1">
      <c r="A14" s="43">
        <v>1708.0</v>
      </c>
      <c r="B14" s="44" t="s">
        <v>20</v>
      </c>
      <c r="C14" s="44" t="s">
        <v>21</v>
      </c>
      <c r="D14" s="44" t="s">
        <v>413</v>
      </c>
      <c r="E14" s="73" t="s">
        <v>414</v>
      </c>
      <c r="F14" s="50" t="s">
        <v>131</v>
      </c>
      <c r="G14" s="50" t="s">
        <v>122</v>
      </c>
      <c r="H14" s="43" t="s">
        <v>123</v>
      </c>
      <c r="I14" s="43" t="s">
        <v>296</v>
      </c>
      <c r="J14" s="43" t="s">
        <v>214</v>
      </c>
      <c r="K14" s="47"/>
      <c r="L14" s="47"/>
      <c r="M14" s="47"/>
      <c r="N14" s="48" t="s">
        <v>215</v>
      </c>
      <c r="O14" s="48">
        <v>6388.28</v>
      </c>
      <c r="P14" s="48" t="s">
        <v>215</v>
      </c>
      <c r="Q14" s="48" t="s">
        <v>215</v>
      </c>
      <c r="R14" s="53" t="s">
        <v>415</v>
      </c>
      <c r="S14" s="48" t="s">
        <v>215</v>
      </c>
      <c r="T14" s="48"/>
      <c r="U14" s="47"/>
      <c r="V14" s="47"/>
      <c r="W14" s="48">
        <v>230.0</v>
      </c>
      <c r="X14" s="47"/>
      <c r="Y14" s="47"/>
      <c r="Z14" s="47"/>
      <c r="AA14" s="47"/>
      <c r="AB14" s="47"/>
      <c r="AC14" s="43">
        <v>55.0</v>
      </c>
      <c r="AD14" s="47"/>
      <c r="AE14" s="47"/>
      <c r="AF14" s="43">
        <v>143.0</v>
      </c>
      <c r="AG14" s="43">
        <v>94.0</v>
      </c>
      <c r="AH14" s="43">
        <v>42.0</v>
      </c>
      <c r="AI14" s="48" t="s">
        <v>416</v>
      </c>
      <c r="AJ14" s="43">
        <v>88.0</v>
      </c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ht="45.0" customHeight="1">
      <c r="A15" s="49">
        <v>1801.0</v>
      </c>
      <c r="B15" s="44" t="s">
        <v>22</v>
      </c>
      <c r="C15" s="44" t="s">
        <v>23</v>
      </c>
      <c r="D15" s="44" t="s">
        <v>417</v>
      </c>
      <c r="E15" s="74" t="s">
        <v>418</v>
      </c>
      <c r="F15" s="50" t="s">
        <v>131</v>
      </c>
      <c r="G15" s="50" t="s">
        <v>122</v>
      </c>
      <c r="H15" s="43" t="s">
        <v>123</v>
      </c>
      <c r="I15" s="43" t="s">
        <v>405</v>
      </c>
      <c r="J15" s="43" t="s">
        <v>214</v>
      </c>
      <c r="K15" s="47"/>
      <c r="L15" s="47"/>
      <c r="M15" s="47"/>
      <c r="N15" s="48" t="s">
        <v>215</v>
      </c>
      <c r="O15" s="43">
        <v>2600.0</v>
      </c>
      <c r="P15" s="48" t="s">
        <v>215</v>
      </c>
      <c r="Q15" s="48" t="s">
        <v>215</v>
      </c>
      <c r="R15" s="48" t="s">
        <v>415</v>
      </c>
      <c r="S15" s="48" t="s">
        <v>215</v>
      </c>
      <c r="T15" s="48" t="s">
        <v>419</v>
      </c>
      <c r="U15" s="47"/>
      <c r="V15" s="47"/>
      <c r="W15" s="48" t="s">
        <v>420</v>
      </c>
      <c r="X15" s="48" t="s">
        <v>217</v>
      </c>
      <c r="Y15" s="48">
        <v>97.8</v>
      </c>
      <c r="Z15" s="48" t="s">
        <v>421</v>
      </c>
      <c r="AA15" s="48"/>
      <c r="AB15" s="48"/>
      <c r="AC15" s="47"/>
      <c r="AD15" s="47"/>
      <c r="AE15" s="47"/>
      <c r="AF15" s="43">
        <v>56.2</v>
      </c>
      <c r="AG15" s="43">
        <v>93.1</v>
      </c>
      <c r="AH15" s="47"/>
      <c r="AI15" s="47"/>
      <c r="AJ15" s="48" t="s">
        <v>422</v>
      </c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</row>
    <row r="16" ht="45.0" customHeight="1">
      <c r="A16" s="49">
        <v>1903.0</v>
      </c>
      <c r="B16" s="44" t="s">
        <v>34</v>
      </c>
      <c r="C16" s="44" t="s">
        <v>35</v>
      </c>
      <c r="D16" s="44" t="s">
        <v>423</v>
      </c>
      <c r="E16" s="44" t="s">
        <v>424</v>
      </c>
      <c r="F16" s="62" t="s">
        <v>131</v>
      </c>
      <c r="G16" s="50" t="s">
        <v>122</v>
      </c>
      <c r="H16" s="43" t="s">
        <v>425</v>
      </c>
      <c r="I16" s="43" t="s">
        <v>405</v>
      </c>
      <c r="J16" s="50" t="s">
        <v>214</v>
      </c>
      <c r="K16" s="47"/>
      <c r="L16" s="47"/>
      <c r="M16" s="47"/>
      <c r="N16" s="48" t="s">
        <v>215</v>
      </c>
      <c r="O16" s="54" t="s">
        <v>426</v>
      </c>
      <c r="P16" s="48" t="s">
        <v>215</v>
      </c>
      <c r="Q16" s="48" t="s">
        <v>215</v>
      </c>
      <c r="R16" s="48" t="s">
        <v>215</v>
      </c>
      <c r="S16" s="48" t="s">
        <v>215</v>
      </c>
      <c r="T16" s="48" t="s">
        <v>215</v>
      </c>
      <c r="U16" s="47"/>
      <c r="V16" s="47"/>
      <c r="W16" s="47"/>
      <c r="X16" s="48">
        <v>160.1</v>
      </c>
      <c r="Y16" s="47"/>
      <c r="Z16" s="47"/>
      <c r="AA16" s="47"/>
      <c r="AB16" s="47"/>
      <c r="AC16" s="47"/>
      <c r="AD16" s="47"/>
      <c r="AE16" s="47"/>
      <c r="AF16" s="48">
        <v>107.0</v>
      </c>
      <c r="AG16" s="47"/>
      <c r="AH16" s="47"/>
      <c r="AI16" s="47"/>
      <c r="AJ16" s="48">
        <v>101.0</v>
      </c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</row>
    <row r="17" ht="44.25" customHeight="1">
      <c r="A17" s="43">
        <v>1704.0</v>
      </c>
      <c r="B17" s="44" t="s">
        <v>12</v>
      </c>
      <c r="C17" s="44" t="s">
        <v>13</v>
      </c>
      <c r="D17" s="44" t="s">
        <v>310</v>
      </c>
      <c r="E17" s="63" t="s">
        <v>311</v>
      </c>
      <c r="F17" s="50" t="s">
        <v>126</v>
      </c>
      <c r="G17" s="62" t="s">
        <v>122</v>
      </c>
      <c r="H17" s="43" t="s">
        <v>123</v>
      </c>
      <c r="I17" s="50" t="s">
        <v>296</v>
      </c>
      <c r="J17" s="44" t="s">
        <v>408</v>
      </c>
      <c r="K17" s="47"/>
      <c r="L17" s="47"/>
      <c r="M17" s="47"/>
      <c r="N17" s="53" t="s">
        <v>215</v>
      </c>
      <c r="O17" s="53" t="s">
        <v>215</v>
      </c>
      <c r="P17" s="53" t="s">
        <v>215</v>
      </c>
      <c r="Q17" s="53" t="s">
        <v>215</v>
      </c>
      <c r="R17" s="48" t="s">
        <v>220</v>
      </c>
      <c r="S17" s="53" t="s">
        <v>215</v>
      </c>
      <c r="T17" s="47"/>
      <c r="U17" s="47"/>
      <c r="V17" s="47"/>
      <c r="W17" s="47"/>
      <c r="X17" s="48"/>
      <c r="Y17" s="54"/>
      <c r="Z17" s="47"/>
      <c r="AA17" s="47"/>
      <c r="AB17" s="47"/>
      <c r="AC17" s="47"/>
      <c r="AD17" s="47"/>
      <c r="AE17" s="48" t="s">
        <v>427</v>
      </c>
      <c r="AF17" s="48" t="s">
        <v>217</v>
      </c>
      <c r="AG17" s="47"/>
      <c r="AH17" s="48" t="s">
        <v>217</v>
      </c>
      <c r="AI17" s="47"/>
      <c r="AJ17" s="47"/>
      <c r="AK17" s="48" t="s">
        <v>217</v>
      </c>
      <c r="AL17" s="48" t="s">
        <v>217</v>
      </c>
      <c r="AM17" s="47"/>
      <c r="AN17" s="47"/>
      <c r="AO17" s="47"/>
      <c r="AP17" s="47"/>
      <c r="AQ17" s="48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8"/>
      <c r="BI17" s="48"/>
      <c r="BJ17" s="48"/>
      <c r="BK17" s="48"/>
      <c r="BL17" s="48"/>
    </row>
    <row r="18" ht="45.0" customHeight="1">
      <c r="A18" s="49">
        <v>1901.0</v>
      </c>
      <c r="B18" s="44" t="s">
        <v>30</v>
      </c>
      <c r="C18" s="75" t="s">
        <v>31</v>
      </c>
      <c r="D18" s="76" t="s">
        <v>428</v>
      </c>
      <c r="E18" s="77" t="s">
        <v>429</v>
      </c>
      <c r="F18" s="50" t="s">
        <v>131</v>
      </c>
      <c r="G18" s="50" t="s">
        <v>132</v>
      </c>
      <c r="H18" s="43" t="s">
        <v>123</v>
      </c>
      <c r="I18" s="50" t="s">
        <v>296</v>
      </c>
      <c r="J18" s="43" t="s">
        <v>214</v>
      </c>
      <c r="K18" s="47"/>
      <c r="L18" s="47"/>
      <c r="M18" s="47"/>
      <c r="N18" s="43">
        <v>350.0</v>
      </c>
      <c r="O18" s="43">
        <v>530.0</v>
      </c>
      <c r="P18" s="43">
        <v>1.51</v>
      </c>
      <c r="Q18" s="53" t="s">
        <v>215</v>
      </c>
      <c r="R18" s="48" t="s">
        <v>430</v>
      </c>
      <c r="S18" s="53" t="s">
        <v>215</v>
      </c>
      <c r="T18" s="48" t="s">
        <v>431</v>
      </c>
      <c r="U18" s="47"/>
      <c r="V18" s="47"/>
      <c r="W18" s="47"/>
      <c r="X18" s="48" t="s">
        <v>217</v>
      </c>
      <c r="Y18" s="47"/>
      <c r="Z18" s="47"/>
      <c r="AA18" s="47"/>
      <c r="AB18" s="47"/>
      <c r="AC18" s="47"/>
      <c r="AD18" s="47"/>
      <c r="AE18" s="47"/>
      <c r="AF18" s="47"/>
      <c r="AG18" s="48" t="s">
        <v>217</v>
      </c>
      <c r="AH18" s="47"/>
      <c r="AI18" s="47"/>
      <c r="AJ18" s="48" t="s">
        <v>217</v>
      </c>
      <c r="AK18" s="47"/>
      <c r="AL18" s="47"/>
      <c r="AM18" s="48" t="s">
        <v>217</v>
      </c>
      <c r="AN18" s="48" t="s">
        <v>217</v>
      </c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45.0" customHeight="1">
      <c r="A19" s="49">
        <v>1905.0</v>
      </c>
      <c r="B19" s="44" t="s">
        <v>38</v>
      </c>
      <c r="C19" s="45" t="s">
        <v>432</v>
      </c>
      <c r="D19" s="44" t="s">
        <v>433</v>
      </c>
      <c r="E19" s="67" t="s">
        <v>429</v>
      </c>
      <c r="F19" s="50" t="s">
        <v>131</v>
      </c>
      <c r="G19" s="50" t="s">
        <v>132</v>
      </c>
      <c r="H19" s="43" t="s">
        <v>123</v>
      </c>
      <c r="I19" s="43" t="s">
        <v>296</v>
      </c>
      <c r="J19" s="43" t="s">
        <v>214</v>
      </c>
      <c r="K19" s="47"/>
      <c r="L19" s="47"/>
      <c r="M19" s="47"/>
      <c r="N19" s="53" t="s">
        <v>215</v>
      </c>
      <c r="O19" s="43">
        <v>1350.0</v>
      </c>
      <c r="P19" s="53" t="s">
        <v>215</v>
      </c>
      <c r="Q19" s="53" t="s">
        <v>215</v>
      </c>
      <c r="R19" s="47"/>
      <c r="S19" s="47"/>
      <c r="T19" s="48" t="s">
        <v>434</v>
      </c>
      <c r="U19" s="48" t="s">
        <v>435</v>
      </c>
      <c r="V19" s="47"/>
      <c r="W19" s="43">
        <v>45.7</v>
      </c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8" t="s">
        <v>217</v>
      </c>
      <c r="AK19" s="47"/>
      <c r="AL19" s="47"/>
      <c r="AM19" s="48" t="s">
        <v>217</v>
      </c>
      <c r="AN19" s="47"/>
      <c r="AO19" s="48" t="s">
        <v>434</v>
      </c>
      <c r="AP19" s="48" t="s">
        <v>436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45.0" customHeight="1">
      <c r="B20" s="70"/>
      <c r="C20" s="70"/>
      <c r="D20" s="70"/>
      <c r="E20" s="70"/>
    </row>
    <row r="21" ht="45.0" customHeight="1">
      <c r="B21" s="70"/>
      <c r="C21" s="70"/>
      <c r="D21" s="70"/>
      <c r="E21" s="70"/>
      <c r="O21" s="78">
        <f>SUM(O2:O19)</f>
        <v>211750.68</v>
      </c>
    </row>
    <row r="22" ht="45.0" customHeight="1">
      <c r="B22" s="70"/>
      <c r="C22" s="70"/>
      <c r="D22" s="70"/>
      <c r="E22" s="70"/>
      <c r="O22" s="78">
        <f>O21+813034</f>
        <v>1024784.68</v>
      </c>
    </row>
    <row r="23" ht="45.0" customHeight="1">
      <c r="B23" s="70"/>
      <c r="C23" s="70"/>
      <c r="D23" s="70"/>
      <c r="E23" s="70"/>
    </row>
    <row r="24" ht="45.0" customHeight="1">
      <c r="B24" s="70"/>
      <c r="C24" s="70"/>
      <c r="D24" s="70"/>
      <c r="E24" s="70"/>
    </row>
    <row r="25" ht="45.0" customHeight="1">
      <c r="B25" s="70"/>
      <c r="C25" s="70"/>
      <c r="D25" s="70"/>
      <c r="E25" s="70"/>
    </row>
    <row r="26" ht="45.0" customHeight="1">
      <c r="B26" s="70"/>
      <c r="C26" s="70"/>
      <c r="D26" s="70"/>
      <c r="E26" s="70"/>
    </row>
    <row r="27" ht="45.0" customHeight="1">
      <c r="B27" s="70"/>
      <c r="C27" s="70"/>
      <c r="D27" s="70"/>
      <c r="E27" s="70"/>
    </row>
    <row r="28" ht="45.0" customHeight="1">
      <c r="B28" s="70"/>
      <c r="C28" s="70"/>
      <c r="D28" s="70"/>
      <c r="E28" s="70"/>
    </row>
    <row r="29" ht="45.0" customHeight="1">
      <c r="B29" s="70"/>
      <c r="C29" s="70"/>
      <c r="D29" s="70"/>
      <c r="E29" s="70"/>
    </row>
    <row r="30" ht="45.0" customHeight="1">
      <c r="B30" s="70"/>
      <c r="C30" s="70"/>
      <c r="D30" s="70"/>
      <c r="E30" s="70"/>
    </row>
    <row r="31" ht="45.0" customHeight="1">
      <c r="B31" s="70"/>
      <c r="C31" s="70"/>
      <c r="D31" s="70"/>
      <c r="E31" s="70"/>
    </row>
    <row r="32" ht="45.0" customHeight="1">
      <c r="B32" s="70"/>
      <c r="C32" s="70"/>
      <c r="D32" s="70"/>
      <c r="E32" s="70"/>
    </row>
    <row r="33" ht="45.0" customHeight="1">
      <c r="B33" s="70"/>
      <c r="C33" s="70"/>
      <c r="D33" s="70"/>
      <c r="E33" s="70"/>
    </row>
    <row r="34" ht="45.0" customHeight="1">
      <c r="B34" s="70"/>
      <c r="C34" s="70"/>
      <c r="D34" s="70"/>
      <c r="E34" s="70"/>
    </row>
    <row r="35" ht="45.0" customHeight="1">
      <c r="B35" s="70"/>
      <c r="C35" s="70"/>
      <c r="D35" s="70"/>
      <c r="E35" s="70"/>
    </row>
    <row r="36" ht="45.0" customHeight="1">
      <c r="B36" s="70"/>
      <c r="C36" s="70"/>
      <c r="D36" s="70"/>
      <c r="E36" s="70"/>
    </row>
    <row r="37" ht="45.0" customHeight="1">
      <c r="B37" s="70"/>
      <c r="C37" s="70"/>
      <c r="D37" s="70"/>
      <c r="E37" s="70"/>
    </row>
    <row r="38" ht="45.0" customHeight="1">
      <c r="B38" s="70"/>
      <c r="C38" s="70"/>
      <c r="D38" s="70"/>
      <c r="E38" s="70"/>
    </row>
    <row r="39" ht="45.0" customHeight="1">
      <c r="B39" s="70"/>
      <c r="C39" s="70"/>
      <c r="D39" s="70"/>
      <c r="E39" s="70"/>
    </row>
    <row r="40" ht="45.0" customHeight="1">
      <c r="B40" s="70"/>
      <c r="C40" s="70"/>
      <c r="D40" s="70"/>
      <c r="E40" s="70"/>
    </row>
    <row r="41" ht="45.0" customHeight="1">
      <c r="B41" s="70"/>
      <c r="C41" s="70"/>
      <c r="D41" s="70"/>
      <c r="E41" s="70"/>
    </row>
    <row r="42" ht="45.0" customHeight="1">
      <c r="B42" s="70"/>
      <c r="C42" s="70"/>
      <c r="D42" s="70"/>
      <c r="E42" s="70"/>
    </row>
    <row r="43">
      <c r="B43" s="70"/>
      <c r="C43" s="70"/>
      <c r="D43" s="70"/>
      <c r="E43" s="70"/>
    </row>
    <row r="44">
      <c r="B44" s="70"/>
      <c r="C44" s="70"/>
      <c r="D44" s="70"/>
      <c r="E44" s="70"/>
    </row>
    <row r="45">
      <c r="B45" s="70"/>
      <c r="C45" s="70"/>
      <c r="D45" s="70"/>
      <c r="E45" s="70"/>
    </row>
    <row r="46">
      <c r="B46" s="70"/>
      <c r="C46" s="70"/>
      <c r="D46" s="70"/>
      <c r="E46" s="70"/>
    </row>
    <row r="47">
      <c r="B47" s="70"/>
      <c r="C47" s="70"/>
      <c r="D47" s="70"/>
      <c r="E47" s="70"/>
    </row>
    <row r="48">
      <c r="B48" s="70"/>
      <c r="C48" s="70"/>
      <c r="D48" s="70"/>
      <c r="E48" s="70"/>
    </row>
    <row r="49">
      <c r="B49" s="70"/>
      <c r="C49" s="70"/>
      <c r="D49" s="70"/>
      <c r="E49" s="70"/>
    </row>
    <row r="50">
      <c r="B50" s="70"/>
      <c r="C50" s="70"/>
      <c r="D50" s="70"/>
      <c r="E50" s="70"/>
    </row>
    <row r="51">
      <c r="B51" s="70"/>
      <c r="C51" s="70"/>
      <c r="D51" s="70"/>
      <c r="E51" s="70"/>
    </row>
    <row r="52">
      <c r="B52" s="70"/>
      <c r="C52" s="70"/>
      <c r="D52" s="70"/>
      <c r="E52" s="70"/>
    </row>
    <row r="53">
      <c r="B53" s="70"/>
      <c r="C53" s="70"/>
      <c r="D53" s="70"/>
      <c r="E53" s="70"/>
    </row>
    <row r="54">
      <c r="B54" s="70"/>
      <c r="C54" s="70"/>
      <c r="D54" s="70"/>
      <c r="E54" s="70"/>
    </row>
    <row r="55">
      <c r="B55" s="70"/>
      <c r="C55" s="70"/>
      <c r="D55" s="70"/>
      <c r="E55" s="70"/>
    </row>
    <row r="56">
      <c r="B56" s="70"/>
      <c r="C56" s="70"/>
      <c r="D56" s="70"/>
      <c r="E56" s="70"/>
    </row>
    <row r="57">
      <c r="B57" s="70"/>
      <c r="C57" s="70"/>
      <c r="D57" s="70"/>
      <c r="E57" s="70"/>
    </row>
    <row r="58">
      <c r="B58" s="70"/>
      <c r="C58" s="70"/>
      <c r="D58" s="70"/>
      <c r="E58" s="70"/>
    </row>
    <row r="59">
      <c r="B59" s="70"/>
      <c r="C59" s="70"/>
      <c r="D59" s="70"/>
      <c r="E59" s="70"/>
    </row>
    <row r="60">
      <c r="B60" s="70"/>
      <c r="C60" s="70"/>
      <c r="D60" s="70"/>
      <c r="E60" s="70"/>
    </row>
    <row r="61">
      <c r="B61" s="70"/>
      <c r="C61" s="70"/>
      <c r="D61" s="70"/>
      <c r="E61" s="70"/>
    </row>
    <row r="62">
      <c r="B62" s="70"/>
      <c r="C62" s="70"/>
      <c r="D62" s="70"/>
      <c r="E62" s="70"/>
    </row>
    <row r="63">
      <c r="B63" s="70"/>
      <c r="C63" s="70"/>
      <c r="D63" s="70"/>
      <c r="E63" s="70"/>
    </row>
    <row r="64">
      <c r="B64" s="70"/>
      <c r="C64" s="70"/>
      <c r="D64" s="70"/>
      <c r="E64" s="70"/>
    </row>
    <row r="65">
      <c r="B65" s="70"/>
      <c r="C65" s="70"/>
      <c r="D65" s="70"/>
      <c r="E65" s="70"/>
    </row>
    <row r="66">
      <c r="B66" s="70"/>
      <c r="C66" s="70"/>
      <c r="D66" s="70"/>
      <c r="E66" s="70"/>
    </row>
    <row r="67">
      <c r="B67" s="70"/>
      <c r="C67" s="70"/>
      <c r="D67" s="70"/>
      <c r="E67" s="70"/>
    </row>
    <row r="68">
      <c r="B68" s="70"/>
      <c r="C68" s="70"/>
      <c r="D68" s="70"/>
      <c r="E68" s="70"/>
    </row>
    <row r="69">
      <c r="B69" s="70"/>
      <c r="C69" s="70"/>
      <c r="D69" s="70"/>
      <c r="E69" s="70"/>
    </row>
    <row r="70">
      <c r="B70" s="70"/>
      <c r="C70" s="70"/>
      <c r="D70" s="70"/>
      <c r="E70" s="70"/>
    </row>
    <row r="71">
      <c r="B71" s="70"/>
      <c r="C71" s="70"/>
      <c r="D71" s="70"/>
      <c r="E71" s="70"/>
    </row>
    <row r="72">
      <c r="B72" s="70"/>
      <c r="C72" s="70"/>
      <c r="D72" s="70"/>
      <c r="E72" s="70"/>
    </row>
    <row r="73">
      <c r="B73" s="70"/>
      <c r="C73" s="70"/>
      <c r="D73" s="70"/>
      <c r="E73" s="70"/>
    </row>
    <row r="74">
      <c r="B74" s="70"/>
      <c r="C74" s="70"/>
      <c r="D74" s="70"/>
      <c r="E74" s="70"/>
    </row>
    <row r="75">
      <c r="B75" s="70"/>
      <c r="C75" s="70"/>
      <c r="D75" s="70"/>
      <c r="E75" s="70"/>
    </row>
    <row r="76">
      <c r="B76" s="70"/>
      <c r="C76" s="70"/>
      <c r="D76" s="70"/>
      <c r="E76" s="70"/>
    </row>
    <row r="77">
      <c r="B77" s="70"/>
      <c r="C77" s="70"/>
      <c r="D77" s="70"/>
      <c r="E77" s="70"/>
    </row>
    <row r="78">
      <c r="B78" s="70"/>
      <c r="C78" s="70"/>
      <c r="D78" s="70"/>
      <c r="E78" s="70"/>
    </row>
    <row r="79">
      <c r="B79" s="70"/>
      <c r="C79" s="70"/>
      <c r="D79" s="70"/>
      <c r="E79" s="70"/>
    </row>
    <row r="80">
      <c r="B80" s="70"/>
      <c r="C80" s="70"/>
      <c r="D80" s="70"/>
      <c r="E80" s="70"/>
    </row>
    <row r="81">
      <c r="B81" s="70"/>
      <c r="C81" s="70"/>
      <c r="D81" s="70"/>
      <c r="E81" s="70"/>
    </row>
    <row r="82">
      <c r="B82" s="70"/>
      <c r="C82" s="70"/>
      <c r="D82" s="70"/>
      <c r="E82" s="70"/>
    </row>
    <row r="83">
      <c r="B83" s="70"/>
      <c r="C83" s="70"/>
      <c r="D83" s="70"/>
      <c r="E83" s="70"/>
    </row>
    <row r="84">
      <c r="B84" s="70"/>
      <c r="C84" s="70"/>
      <c r="D84" s="70"/>
      <c r="E84" s="70"/>
    </row>
    <row r="85">
      <c r="B85" s="70"/>
      <c r="C85" s="70"/>
      <c r="D85" s="70"/>
      <c r="E85" s="70"/>
    </row>
    <row r="86">
      <c r="B86" s="70"/>
      <c r="C86" s="70"/>
      <c r="D86" s="70"/>
      <c r="E86" s="70"/>
    </row>
    <row r="87">
      <c r="B87" s="70"/>
      <c r="C87" s="70"/>
      <c r="D87" s="70"/>
      <c r="E87" s="70"/>
    </row>
    <row r="88">
      <c r="B88" s="70"/>
      <c r="C88" s="70"/>
      <c r="D88" s="70"/>
      <c r="E88" s="70"/>
    </row>
    <row r="89">
      <c r="B89" s="70"/>
      <c r="C89" s="70"/>
      <c r="D89" s="70"/>
      <c r="E89" s="70"/>
    </row>
    <row r="90">
      <c r="B90" s="70"/>
      <c r="C90" s="70"/>
      <c r="D90" s="70"/>
      <c r="E90" s="70"/>
    </row>
    <row r="91">
      <c r="B91" s="70"/>
      <c r="C91" s="70"/>
      <c r="D91" s="70"/>
      <c r="E91" s="70"/>
    </row>
    <row r="92">
      <c r="B92" s="70"/>
      <c r="C92" s="70"/>
      <c r="D92" s="70"/>
      <c r="E92" s="70"/>
    </row>
    <row r="93">
      <c r="B93" s="70"/>
      <c r="C93" s="70"/>
      <c r="D93" s="70"/>
      <c r="E93" s="70"/>
    </row>
    <row r="94">
      <c r="B94" s="70"/>
      <c r="C94" s="70"/>
      <c r="D94" s="70"/>
      <c r="E94" s="70"/>
    </row>
    <row r="95">
      <c r="B95" s="70"/>
      <c r="C95" s="70"/>
      <c r="D95" s="70"/>
      <c r="E95" s="70"/>
    </row>
    <row r="96">
      <c r="B96" s="70"/>
      <c r="C96" s="70"/>
      <c r="D96" s="70"/>
      <c r="E96" s="70"/>
    </row>
    <row r="97">
      <c r="B97" s="70"/>
      <c r="C97" s="70"/>
      <c r="D97" s="70"/>
      <c r="E97" s="70"/>
    </row>
    <row r="98">
      <c r="B98" s="70"/>
      <c r="C98" s="70"/>
      <c r="D98" s="70"/>
      <c r="E98" s="70"/>
    </row>
    <row r="99">
      <c r="B99" s="70"/>
      <c r="C99" s="70"/>
      <c r="D99" s="70"/>
      <c r="E99" s="70"/>
    </row>
    <row r="100">
      <c r="B100" s="70"/>
      <c r="C100" s="70"/>
      <c r="D100" s="70"/>
      <c r="E100" s="70"/>
    </row>
    <row r="101">
      <c r="B101" s="70"/>
      <c r="C101" s="70"/>
      <c r="D101" s="70"/>
      <c r="E101" s="70"/>
    </row>
    <row r="102">
      <c r="B102" s="70"/>
      <c r="C102" s="70"/>
      <c r="D102" s="70"/>
      <c r="E102" s="70"/>
    </row>
    <row r="103">
      <c r="B103" s="70"/>
      <c r="C103" s="70"/>
      <c r="D103" s="70"/>
      <c r="E103" s="70"/>
    </row>
    <row r="104">
      <c r="B104" s="70"/>
      <c r="C104" s="70"/>
      <c r="D104" s="70"/>
      <c r="E104" s="70"/>
    </row>
    <row r="105">
      <c r="B105" s="70"/>
      <c r="C105" s="70"/>
      <c r="D105" s="70"/>
      <c r="E105" s="70"/>
    </row>
    <row r="106">
      <c r="B106" s="70"/>
      <c r="C106" s="70"/>
      <c r="D106" s="70"/>
      <c r="E106" s="70"/>
    </row>
    <row r="107">
      <c r="B107" s="70"/>
      <c r="C107" s="70"/>
      <c r="D107" s="70"/>
      <c r="E107" s="70"/>
    </row>
    <row r="108">
      <c r="B108" s="70"/>
      <c r="C108" s="70"/>
      <c r="D108" s="70"/>
      <c r="E108" s="70"/>
    </row>
    <row r="109">
      <c r="B109" s="70"/>
      <c r="C109" s="70"/>
      <c r="D109" s="70"/>
      <c r="E109" s="70"/>
    </row>
    <row r="110">
      <c r="B110" s="70"/>
      <c r="C110" s="70"/>
      <c r="D110" s="70"/>
      <c r="E110" s="70"/>
    </row>
    <row r="111">
      <c r="B111" s="70"/>
      <c r="C111" s="70"/>
      <c r="D111" s="70"/>
      <c r="E111" s="70"/>
    </row>
    <row r="112">
      <c r="B112" s="70"/>
      <c r="C112" s="70"/>
      <c r="D112" s="70"/>
      <c r="E112" s="70"/>
    </row>
    <row r="113">
      <c r="B113" s="70"/>
      <c r="C113" s="70"/>
      <c r="D113" s="70"/>
      <c r="E113" s="70"/>
    </row>
    <row r="114">
      <c r="B114" s="70"/>
      <c r="C114" s="70"/>
      <c r="D114" s="70"/>
      <c r="E114" s="70"/>
    </row>
    <row r="115">
      <c r="B115" s="70"/>
      <c r="C115" s="70"/>
      <c r="D115" s="70"/>
      <c r="E115" s="70"/>
    </row>
    <row r="116">
      <c r="B116" s="70"/>
      <c r="C116" s="70"/>
      <c r="D116" s="70"/>
      <c r="E116" s="70"/>
    </row>
    <row r="117">
      <c r="B117" s="70"/>
      <c r="C117" s="70"/>
      <c r="D117" s="70"/>
      <c r="E117" s="70"/>
    </row>
    <row r="118">
      <c r="B118" s="70"/>
      <c r="C118" s="70"/>
      <c r="D118" s="70"/>
      <c r="E118" s="70"/>
    </row>
    <row r="119">
      <c r="B119" s="70"/>
      <c r="C119" s="70"/>
      <c r="D119" s="70"/>
      <c r="E119" s="70"/>
    </row>
    <row r="120">
      <c r="B120" s="70"/>
      <c r="C120" s="70"/>
      <c r="D120" s="70"/>
      <c r="E120" s="70"/>
    </row>
    <row r="121">
      <c r="B121" s="70"/>
      <c r="C121" s="70"/>
      <c r="D121" s="70"/>
      <c r="E121" s="70"/>
    </row>
    <row r="122">
      <c r="B122" s="70"/>
      <c r="C122" s="70"/>
      <c r="D122" s="70"/>
      <c r="E122" s="70"/>
    </row>
    <row r="123">
      <c r="B123" s="70"/>
      <c r="C123" s="70"/>
      <c r="D123" s="70"/>
      <c r="E123" s="70"/>
    </row>
    <row r="124">
      <c r="B124" s="70"/>
      <c r="C124" s="70"/>
      <c r="D124" s="70"/>
      <c r="E124" s="70"/>
    </row>
    <row r="125">
      <c r="B125" s="70"/>
      <c r="C125" s="70"/>
      <c r="D125" s="70"/>
      <c r="E125" s="70"/>
    </row>
    <row r="126">
      <c r="B126" s="70"/>
      <c r="C126" s="70"/>
      <c r="D126" s="70"/>
      <c r="E126" s="70"/>
    </row>
    <row r="127">
      <c r="B127" s="70"/>
      <c r="C127" s="70"/>
      <c r="D127" s="70"/>
      <c r="E127" s="70"/>
    </row>
    <row r="128">
      <c r="B128" s="70"/>
      <c r="C128" s="70"/>
      <c r="D128" s="70"/>
      <c r="E128" s="70"/>
    </row>
    <row r="129">
      <c r="B129" s="70"/>
      <c r="C129" s="70"/>
      <c r="D129" s="70"/>
      <c r="E129" s="70"/>
    </row>
    <row r="130">
      <c r="B130" s="70"/>
      <c r="C130" s="70"/>
      <c r="D130" s="70"/>
      <c r="E130" s="70"/>
    </row>
    <row r="131">
      <c r="B131" s="70"/>
      <c r="C131" s="70"/>
      <c r="D131" s="70"/>
      <c r="E131" s="70"/>
    </row>
    <row r="132">
      <c r="B132" s="70"/>
      <c r="C132" s="70"/>
      <c r="D132" s="70"/>
      <c r="E132" s="70"/>
    </row>
    <row r="133">
      <c r="B133" s="70"/>
      <c r="C133" s="70"/>
      <c r="D133" s="70"/>
      <c r="E133" s="70"/>
    </row>
    <row r="134">
      <c r="B134" s="70"/>
      <c r="C134" s="70"/>
      <c r="D134" s="70"/>
      <c r="E134" s="70"/>
    </row>
    <row r="135">
      <c r="B135" s="70"/>
      <c r="C135" s="70"/>
      <c r="D135" s="70"/>
      <c r="E135" s="70"/>
    </row>
    <row r="136">
      <c r="B136" s="70"/>
      <c r="C136" s="70"/>
      <c r="D136" s="70"/>
      <c r="E136" s="70"/>
    </row>
    <row r="137">
      <c r="B137" s="70"/>
      <c r="C137" s="70"/>
      <c r="D137" s="70"/>
      <c r="E137" s="70"/>
    </row>
    <row r="138">
      <c r="B138" s="70"/>
      <c r="C138" s="70"/>
      <c r="D138" s="70"/>
      <c r="E138" s="70"/>
    </row>
    <row r="139">
      <c r="B139" s="70"/>
      <c r="C139" s="70"/>
      <c r="D139" s="70"/>
      <c r="E139" s="70"/>
    </row>
    <row r="140">
      <c r="B140" s="70"/>
      <c r="C140" s="70"/>
      <c r="D140" s="70"/>
      <c r="E140" s="70"/>
    </row>
    <row r="141">
      <c r="B141" s="70"/>
      <c r="C141" s="70"/>
      <c r="D141" s="70"/>
      <c r="E141" s="70"/>
    </row>
    <row r="142">
      <c r="B142" s="70"/>
      <c r="C142" s="70"/>
      <c r="D142" s="70"/>
      <c r="E142" s="70"/>
    </row>
    <row r="143">
      <c r="B143" s="70"/>
      <c r="C143" s="70"/>
      <c r="D143" s="70"/>
      <c r="E143" s="70"/>
    </row>
    <row r="144">
      <c r="B144" s="70"/>
      <c r="C144" s="70"/>
      <c r="D144" s="70"/>
      <c r="E144" s="70"/>
    </row>
    <row r="145">
      <c r="B145" s="70"/>
      <c r="C145" s="70"/>
      <c r="D145" s="70"/>
      <c r="E145" s="70"/>
    </row>
    <row r="146">
      <c r="B146" s="70"/>
      <c r="C146" s="70"/>
      <c r="D146" s="70"/>
      <c r="E146" s="70"/>
    </row>
    <row r="147">
      <c r="B147" s="70"/>
      <c r="C147" s="70"/>
      <c r="D147" s="70"/>
      <c r="E147" s="70"/>
    </row>
    <row r="148">
      <c r="B148" s="70"/>
      <c r="C148" s="70"/>
      <c r="D148" s="70"/>
      <c r="E148" s="70"/>
    </row>
    <row r="149">
      <c r="B149" s="70"/>
      <c r="C149" s="70"/>
      <c r="D149" s="70"/>
      <c r="E149" s="70"/>
    </row>
    <row r="150">
      <c r="B150" s="70"/>
      <c r="C150" s="70"/>
      <c r="D150" s="70"/>
      <c r="E150" s="70"/>
    </row>
    <row r="151">
      <c r="B151" s="70"/>
      <c r="C151" s="70"/>
      <c r="D151" s="70"/>
      <c r="E151" s="70"/>
    </row>
    <row r="152">
      <c r="B152" s="70"/>
      <c r="C152" s="70"/>
      <c r="D152" s="70"/>
      <c r="E152" s="70"/>
    </row>
    <row r="153">
      <c r="B153" s="70"/>
      <c r="C153" s="70"/>
      <c r="D153" s="70"/>
      <c r="E153" s="70"/>
    </row>
    <row r="154">
      <c r="B154" s="70"/>
      <c r="C154" s="70"/>
      <c r="D154" s="70"/>
      <c r="E154" s="70"/>
    </row>
    <row r="155">
      <c r="B155" s="70"/>
      <c r="C155" s="70"/>
      <c r="D155" s="70"/>
      <c r="E155" s="70"/>
    </row>
    <row r="156">
      <c r="B156" s="70"/>
      <c r="C156" s="70"/>
      <c r="D156" s="70"/>
      <c r="E156" s="70"/>
    </row>
    <row r="157">
      <c r="B157" s="70"/>
      <c r="C157" s="70"/>
      <c r="D157" s="70"/>
      <c r="E157" s="70"/>
    </row>
    <row r="158">
      <c r="B158" s="70"/>
      <c r="C158" s="70"/>
      <c r="D158" s="70"/>
      <c r="E158" s="70"/>
    </row>
    <row r="159">
      <c r="B159" s="70"/>
      <c r="C159" s="70"/>
      <c r="D159" s="70"/>
      <c r="E159" s="70"/>
    </row>
    <row r="160">
      <c r="B160" s="70"/>
      <c r="C160" s="70"/>
      <c r="D160" s="70"/>
      <c r="E160" s="70"/>
    </row>
    <row r="161">
      <c r="B161" s="70"/>
      <c r="C161" s="70"/>
      <c r="D161" s="70"/>
      <c r="E161" s="70"/>
    </row>
    <row r="162">
      <c r="B162" s="70"/>
      <c r="C162" s="70"/>
      <c r="D162" s="70"/>
      <c r="E162" s="70"/>
    </row>
    <row r="163">
      <c r="B163" s="70"/>
      <c r="C163" s="70"/>
      <c r="D163" s="70"/>
      <c r="E163" s="70"/>
    </row>
    <row r="164">
      <c r="B164" s="70"/>
      <c r="C164" s="70"/>
      <c r="D164" s="70"/>
      <c r="E164" s="70"/>
    </row>
    <row r="165">
      <c r="B165" s="70"/>
      <c r="C165" s="70"/>
      <c r="D165" s="70"/>
      <c r="E165" s="70"/>
    </row>
    <row r="166">
      <c r="B166" s="70"/>
      <c r="C166" s="70"/>
      <c r="D166" s="70"/>
      <c r="E166" s="70"/>
    </row>
    <row r="167">
      <c r="B167" s="70"/>
      <c r="C167" s="70"/>
      <c r="D167" s="70"/>
      <c r="E167" s="70"/>
    </row>
    <row r="168">
      <c r="B168" s="70"/>
      <c r="C168" s="70"/>
      <c r="D168" s="70"/>
      <c r="E168" s="70"/>
    </row>
    <row r="169">
      <c r="B169" s="70"/>
      <c r="C169" s="70"/>
      <c r="D169" s="70"/>
      <c r="E169" s="70"/>
    </row>
    <row r="170">
      <c r="B170" s="70"/>
      <c r="C170" s="70"/>
      <c r="D170" s="70"/>
      <c r="E170" s="70"/>
    </row>
    <row r="171">
      <c r="B171" s="70"/>
      <c r="C171" s="70"/>
      <c r="D171" s="70"/>
      <c r="E171" s="70"/>
    </row>
    <row r="172">
      <c r="B172" s="70"/>
      <c r="C172" s="70"/>
      <c r="D172" s="70"/>
      <c r="E172" s="70"/>
    </row>
    <row r="173">
      <c r="B173" s="70"/>
      <c r="C173" s="70"/>
      <c r="D173" s="70"/>
      <c r="E173" s="70"/>
    </row>
    <row r="174">
      <c r="B174" s="70"/>
      <c r="C174" s="70"/>
      <c r="D174" s="70"/>
      <c r="E174" s="70"/>
    </row>
    <row r="175">
      <c r="B175" s="70"/>
      <c r="C175" s="70"/>
      <c r="D175" s="70"/>
      <c r="E175" s="70"/>
    </row>
    <row r="176">
      <c r="B176" s="70"/>
      <c r="C176" s="70"/>
      <c r="D176" s="70"/>
      <c r="E176" s="70"/>
    </row>
    <row r="177">
      <c r="B177" s="70"/>
      <c r="C177" s="70"/>
      <c r="D177" s="70"/>
      <c r="E177" s="70"/>
    </row>
    <row r="178">
      <c r="B178" s="70"/>
      <c r="C178" s="70"/>
      <c r="D178" s="70"/>
      <c r="E178" s="70"/>
    </row>
    <row r="179">
      <c r="B179" s="70"/>
      <c r="C179" s="70"/>
      <c r="D179" s="70"/>
      <c r="E179" s="70"/>
    </row>
    <row r="180">
      <c r="B180" s="70"/>
      <c r="C180" s="70"/>
      <c r="D180" s="70"/>
      <c r="E180" s="70"/>
    </row>
    <row r="181">
      <c r="B181" s="70"/>
      <c r="C181" s="70"/>
      <c r="D181" s="70"/>
      <c r="E181" s="70"/>
    </row>
    <row r="182">
      <c r="B182" s="70"/>
      <c r="C182" s="70"/>
      <c r="D182" s="70"/>
      <c r="E182" s="70"/>
    </row>
    <row r="183">
      <c r="B183" s="70"/>
      <c r="C183" s="70"/>
      <c r="D183" s="70"/>
      <c r="E183" s="70"/>
    </row>
    <row r="184">
      <c r="B184" s="70"/>
      <c r="C184" s="70"/>
      <c r="D184" s="70"/>
      <c r="E184" s="70"/>
    </row>
    <row r="185">
      <c r="B185" s="70"/>
      <c r="C185" s="70"/>
      <c r="D185" s="70"/>
      <c r="E185" s="70"/>
    </row>
    <row r="186">
      <c r="B186" s="70"/>
      <c r="C186" s="70"/>
      <c r="D186" s="70"/>
      <c r="E186" s="70"/>
    </row>
    <row r="187">
      <c r="B187" s="70"/>
      <c r="C187" s="70"/>
      <c r="D187" s="70"/>
      <c r="E187" s="70"/>
    </row>
    <row r="188">
      <c r="B188" s="70"/>
      <c r="C188" s="70"/>
      <c r="D188" s="70"/>
      <c r="E188" s="70"/>
    </row>
    <row r="189">
      <c r="B189" s="70"/>
      <c r="C189" s="70"/>
      <c r="D189" s="70"/>
      <c r="E189" s="70"/>
    </row>
    <row r="190">
      <c r="B190" s="70"/>
      <c r="C190" s="70"/>
      <c r="D190" s="70"/>
      <c r="E190" s="70"/>
    </row>
    <row r="191">
      <c r="B191" s="70"/>
      <c r="C191" s="70"/>
      <c r="D191" s="70"/>
      <c r="E191" s="70"/>
    </row>
    <row r="192">
      <c r="B192" s="70"/>
      <c r="C192" s="70"/>
      <c r="D192" s="70"/>
      <c r="E192" s="70"/>
    </row>
    <row r="193">
      <c r="B193" s="70"/>
      <c r="C193" s="70"/>
      <c r="D193" s="70"/>
      <c r="E193" s="70"/>
    </row>
    <row r="194">
      <c r="B194" s="70"/>
      <c r="C194" s="70"/>
      <c r="D194" s="70"/>
      <c r="E194" s="70"/>
    </row>
    <row r="195">
      <c r="B195" s="70"/>
      <c r="C195" s="70"/>
      <c r="D195" s="70"/>
      <c r="E195" s="70"/>
    </row>
    <row r="196">
      <c r="B196" s="70"/>
      <c r="C196" s="70"/>
      <c r="D196" s="70"/>
      <c r="E196" s="70"/>
    </row>
    <row r="197">
      <c r="B197" s="70"/>
      <c r="C197" s="70"/>
      <c r="D197" s="70"/>
      <c r="E197" s="70"/>
    </row>
    <row r="198">
      <c r="B198" s="70"/>
      <c r="C198" s="70"/>
      <c r="D198" s="70"/>
      <c r="E198" s="70"/>
    </row>
    <row r="199">
      <c r="B199" s="70"/>
      <c r="C199" s="70"/>
      <c r="D199" s="70"/>
      <c r="E199" s="70"/>
    </row>
    <row r="200">
      <c r="B200" s="70"/>
      <c r="C200" s="70"/>
      <c r="D200" s="70"/>
      <c r="E200" s="70"/>
    </row>
    <row r="201">
      <c r="B201" s="70"/>
      <c r="C201" s="70"/>
      <c r="D201" s="70"/>
      <c r="E201" s="70"/>
    </row>
    <row r="202">
      <c r="B202" s="70"/>
      <c r="C202" s="70"/>
      <c r="D202" s="70"/>
      <c r="E202" s="70"/>
    </row>
    <row r="203">
      <c r="B203" s="70"/>
      <c r="C203" s="70"/>
      <c r="D203" s="70"/>
      <c r="E203" s="70"/>
    </row>
    <row r="204">
      <c r="B204" s="70"/>
      <c r="C204" s="70"/>
      <c r="D204" s="70"/>
      <c r="E204" s="70"/>
    </row>
    <row r="205">
      <c r="B205" s="70"/>
      <c r="C205" s="70"/>
      <c r="D205" s="70"/>
      <c r="E205" s="70"/>
    </row>
    <row r="206">
      <c r="B206" s="70"/>
      <c r="C206" s="70"/>
      <c r="D206" s="70"/>
      <c r="E206" s="70"/>
    </row>
    <row r="207">
      <c r="B207" s="70"/>
      <c r="C207" s="70"/>
      <c r="D207" s="70"/>
      <c r="E207" s="70"/>
    </row>
    <row r="208">
      <c r="B208" s="70"/>
      <c r="C208" s="70"/>
      <c r="D208" s="70"/>
      <c r="E208" s="70"/>
    </row>
    <row r="209">
      <c r="B209" s="70"/>
      <c r="C209" s="70"/>
      <c r="D209" s="70"/>
      <c r="E209" s="70"/>
    </row>
    <row r="210">
      <c r="B210" s="70"/>
      <c r="C210" s="70"/>
      <c r="D210" s="70"/>
      <c r="E210" s="70"/>
    </row>
    <row r="211">
      <c r="B211" s="70"/>
      <c r="C211" s="70"/>
      <c r="D211" s="70"/>
      <c r="E211" s="70"/>
    </row>
    <row r="212">
      <c r="B212" s="70"/>
      <c r="C212" s="70"/>
      <c r="D212" s="70"/>
      <c r="E212" s="70"/>
    </row>
    <row r="213">
      <c r="B213" s="70"/>
      <c r="C213" s="70"/>
      <c r="D213" s="70"/>
      <c r="E213" s="70"/>
    </row>
    <row r="214">
      <c r="B214" s="70"/>
      <c r="C214" s="70"/>
      <c r="D214" s="70"/>
      <c r="E214" s="70"/>
    </row>
    <row r="215">
      <c r="B215" s="70"/>
      <c r="C215" s="70"/>
      <c r="D215" s="70"/>
      <c r="E215" s="70"/>
    </row>
    <row r="216">
      <c r="B216" s="70"/>
      <c r="C216" s="70"/>
      <c r="D216" s="70"/>
      <c r="E216" s="70"/>
    </row>
    <row r="217">
      <c r="B217" s="70"/>
      <c r="C217" s="70"/>
      <c r="D217" s="70"/>
      <c r="E217" s="70"/>
    </row>
    <row r="218">
      <c r="B218" s="70"/>
      <c r="C218" s="70"/>
      <c r="D218" s="70"/>
      <c r="E218" s="70"/>
    </row>
    <row r="219">
      <c r="B219" s="70"/>
      <c r="C219" s="70"/>
      <c r="D219" s="70"/>
      <c r="E219" s="70"/>
    </row>
    <row r="220">
      <c r="B220" s="70"/>
      <c r="C220" s="70"/>
      <c r="D220" s="70"/>
      <c r="E220" s="70"/>
    </row>
    <row r="221">
      <c r="B221" s="70"/>
      <c r="C221" s="70"/>
      <c r="D221" s="70"/>
      <c r="E221" s="70"/>
    </row>
    <row r="222">
      <c r="B222" s="70"/>
      <c r="C222" s="70"/>
      <c r="D222" s="70"/>
      <c r="E222" s="70"/>
    </row>
    <row r="223">
      <c r="B223" s="70"/>
      <c r="C223" s="70"/>
      <c r="D223" s="70"/>
      <c r="E223" s="70"/>
    </row>
    <row r="224">
      <c r="B224" s="70"/>
      <c r="C224" s="70"/>
      <c r="D224" s="70"/>
      <c r="E224" s="70"/>
    </row>
    <row r="225">
      <c r="B225" s="70"/>
      <c r="C225" s="70"/>
      <c r="D225" s="70"/>
      <c r="E225" s="70"/>
    </row>
    <row r="226">
      <c r="B226" s="70"/>
      <c r="C226" s="70"/>
      <c r="D226" s="70"/>
      <c r="E226" s="70"/>
    </row>
    <row r="227">
      <c r="B227" s="70"/>
      <c r="C227" s="70"/>
      <c r="D227" s="70"/>
      <c r="E227" s="70"/>
    </row>
    <row r="228">
      <c r="B228" s="70"/>
      <c r="C228" s="70"/>
      <c r="D228" s="70"/>
      <c r="E228" s="70"/>
    </row>
    <row r="229">
      <c r="B229" s="70"/>
      <c r="C229" s="70"/>
      <c r="D229" s="70"/>
      <c r="E229" s="70"/>
    </row>
    <row r="230">
      <c r="B230" s="70"/>
      <c r="C230" s="70"/>
      <c r="D230" s="70"/>
      <c r="E230" s="70"/>
    </row>
    <row r="231">
      <c r="B231" s="70"/>
      <c r="C231" s="70"/>
      <c r="D231" s="70"/>
      <c r="E231" s="70"/>
    </row>
    <row r="232">
      <c r="B232" s="70"/>
      <c r="C232" s="70"/>
      <c r="D232" s="70"/>
      <c r="E232" s="70"/>
    </row>
    <row r="233">
      <c r="B233" s="70"/>
      <c r="C233" s="70"/>
      <c r="D233" s="70"/>
      <c r="E233" s="70"/>
    </row>
    <row r="234">
      <c r="B234" s="70"/>
      <c r="C234" s="70"/>
      <c r="D234" s="70"/>
      <c r="E234" s="70"/>
    </row>
    <row r="235">
      <c r="B235" s="70"/>
      <c r="C235" s="70"/>
      <c r="D235" s="70"/>
      <c r="E235" s="70"/>
    </row>
    <row r="236">
      <c r="B236" s="70"/>
      <c r="C236" s="70"/>
      <c r="D236" s="70"/>
      <c r="E236" s="70"/>
    </row>
    <row r="237">
      <c r="B237" s="70"/>
      <c r="C237" s="70"/>
      <c r="D237" s="70"/>
      <c r="E237" s="70"/>
    </row>
    <row r="238">
      <c r="B238" s="70"/>
      <c r="C238" s="70"/>
      <c r="D238" s="70"/>
      <c r="E238" s="70"/>
    </row>
    <row r="239">
      <c r="B239" s="70"/>
      <c r="C239" s="70"/>
      <c r="D239" s="70"/>
      <c r="E239" s="70"/>
    </row>
    <row r="240">
      <c r="B240" s="70"/>
      <c r="C240" s="70"/>
      <c r="D240" s="70"/>
      <c r="E240" s="70"/>
    </row>
    <row r="241">
      <c r="B241" s="70"/>
      <c r="C241" s="70"/>
      <c r="D241" s="70"/>
      <c r="E241" s="70"/>
    </row>
    <row r="242">
      <c r="B242" s="70"/>
      <c r="C242" s="70"/>
      <c r="D242" s="70"/>
      <c r="E242" s="70"/>
    </row>
    <row r="243">
      <c r="B243" s="70"/>
      <c r="C243" s="70"/>
      <c r="D243" s="70"/>
      <c r="E243" s="70"/>
    </row>
    <row r="244">
      <c r="B244" s="70"/>
      <c r="C244" s="70"/>
      <c r="D244" s="70"/>
      <c r="E244" s="70"/>
    </row>
    <row r="245">
      <c r="B245" s="70"/>
      <c r="C245" s="70"/>
      <c r="D245" s="70"/>
      <c r="E245" s="70"/>
    </row>
    <row r="246">
      <c r="B246" s="70"/>
      <c r="C246" s="70"/>
      <c r="D246" s="70"/>
      <c r="E246" s="70"/>
    </row>
    <row r="247">
      <c r="B247" s="70"/>
      <c r="C247" s="70"/>
      <c r="D247" s="70"/>
      <c r="E247" s="70"/>
    </row>
    <row r="248">
      <c r="B248" s="70"/>
      <c r="C248" s="70"/>
      <c r="D248" s="70"/>
      <c r="E248" s="70"/>
    </row>
    <row r="249">
      <c r="B249" s="70"/>
      <c r="C249" s="70"/>
      <c r="D249" s="70"/>
      <c r="E249" s="70"/>
    </row>
    <row r="250">
      <c r="B250" s="70"/>
      <c r="C250" s="70"/>
      <c r="D250" s="70"/>
      <c r="E250" s="70"/>
    </row>
    <row r="251">
      <c r="B251" s="70"/>
      <c r="C251" s="70"/>
      <c r="D251" s="70"/>
      <c r="E251" s="70"/>
    </row>
    <row r="252">
      <c r="B252" s="70"/>
      <c r="C252" s="70"/>
      <c r="D252" s="70"/>
      <c r="E252" s="70"/>
    </row>
    <row r="253">
      <c r="B253" s="70"/>
      <c r="C253" s="70"/>
      <c r="D253" s="70"/>
      <c r="E253" s="70"/>
    </row>
    <row r="254">
      <c r="B254" s="70"/>
      <c r="C254" s="70"/>
      <c r="D254" s="70"/>
      <c r="E254" s="70"/>
    </row>
    <row r="255">
      <c r="B255" s="70"/>
      <c r="C255" s="70"/>
      <c r="D255" s="70"/>
      <c r="E255" s="70"/>
    </row>
    <row r="256">
      <c r="B256" s="70"/>
      <c r="C256" s="70"/>
      <c r="D256" s="70"/>
      <c r="E256" s="70"/>
    </row>
    <row r="257">
      <c r="B257" s="70"/>
      <c r="C257" s="70"/>
      <c r="D257" s="70"/>
      <c r="E257" s="70"/>
    </row>
    <row r="258">
      <c r="B258" s="70"/>
      <c r="C258" s="70"/>
      <c r="D258" s="70"/>
      <c r="E258" s="70"/>
    </row>
    <row r="259">
      <c r="B259" s="70"/>
      <c r="C259" s="70"/>
      <c r="D259" s="70"/>
      <c r="E259" s="70"/>
    </row>
    <row r="260">
      <c r="B260" s="70"/>
      <c r="C260" s="70"/>
      <c r="D260" s="70"/>
      <c r="E260" s="70"/>
    </row>
    <row r="261">
      <c r="B261" s="70"/>
      <c r="C261" s="70"/>
      <c r="D261" s="70"/>
      <c r="E261" s="70"/>
    </row>
    <row r="262">
      <c r="B262" s="70"/>
      <c r="C262" s="70"/>
      <c r="D262" s="70"/>
      <c r="E262" s="70"/>
    </row>
    <row r="263">
      <c r="B263" s="70"/>
      <c r="C263" s="70"/>
      <c r="D263" s="70"/>
      <c r="E263" s="70"/>
    </row>
    <row r="264">
      <c r="B264" s="70"/>
      <c r="C264" s="70"/>
      <c r="D264" s="70"/>
      <c r="E264" s="70"/>
    </row>
    <row r="265">
      <c r="B265" s="70"/>
      <c r="C265" s="70"/>
      <c r="D265" s="70"/>
      <c r="E265" s="70"/>
    </row>
    <row r="266">
      <c r="B266" s="70"/>
      <c r="C266" s="70"/>
      <c r="D266" s="70"/>
      <c r="E266" s="70"/>
    </row>
    <row r="267">
      <c r="B267" s="70"/>
      <c r="C267" s="70"/>
      <c r="D267" s="70"/>
      <c r="E267" s="70"/>
    </row>
    <row r="268">
      <c r="B268" s="70"/>
      <c r="C268" s="70"/>
      <c r="D268" s="70"/>
      <c r="E268" s="70"/>
    </row>
    <row r="269">
      <c r="B269" s="70"/>
      <c r="C269" s="70"/>
      <c r="D269" s="70"/>
      <c r="E269" s="70"/>
    </row>
    <row r="270">
      <c r="B270" s="70"/>
      <c r="C270" s="70"/>
      <c r="D270" s="70"/>
      <c r="E270" s="70"/>
    </row>
    <row r="271">
      <c r="B271" s="70"/>
      <c r="C271" s="70"/>
      <c r="D271" s="70"/>
      <c r="E271" s="70"/>
    </row>
    <row r="272">
      <c r="B272" s="70"/>
      <c r="C272" s="70"/>
      <c r="D272" s="70"/>
      <c r="E272" s="70"/>
    </row>
    <row r="273">
      <c r="B273" s="70"/>
      <c r="C273" s="70"/>
      <c r="D273" s="70"/>
      <c r="E273" s="70"/>
    </row>
    <row r="274">
      <c r="B274" s="70"/>
      <c r="C274" s="70"/>
      <c r="D274" s="70"/>
      <c r="E274" s="70"/>
    </row>
    <row r="275">
      <c r="B275" s="70"/>
      <c r="C275" s="70"/>
      <c r="D275" s="70"/>
      <c r="E275" s="70"/>
    </row>
    <row r="276">
      <c r="B276" s="70"/>
      <c r="C276" s="70"/>
      <c r="D276" s="70"/>
      <c r="E276" s="70"/>
    </row>
    <row r="277">
      <c r="B277" s="70"/>
      <c r="C277" s="70"/>
      <c r="D277" s="70"/>
      <c r="E277" s="70"/>
    </row>
    <row r="278">
      <c r="B278" s="70"/>
      <c r="C278" s="70"/>
      <c r="D278" s="70"/>
      <c r="E278" s="70"/>
    </row>
    <row r="279">
      <c r="B279" s="70"/>
      <c r="C279" s="70"/>
      <c r="D279" s="70"/>
      <c r="E279" s="70"/>
    </row>
    <row r="280">
      <c r="B280" s="70"/>
      <c r="C280" s="70"/>
      <c r="D280" s="70"/>
      <c r="E280" s="70"/>
    </row>
    <row r="281">
      <c r="B281" s="70"/>
      <c r="C281" s="70"/>
      <c r="D281" s="70"/>
      <c r="E281" s="70"/>
    </row>
    <row r="282">
      <c r="B282" s="70"/>
      <c r="C282" s="70"/>
      <c r="D282" s="70"/>
      <c r="E282" s="70"/>
    </row>
    <row r="283">
      <c r="B283" s="70"/>
      <c r="C283" s="70"/>
      <c r="D283" s="70"/>
      <c r="E283" s="70"/>
    </row>
    <row r="284">
      <c r="B284" s="70"/>
      <c r="C284" s="70"/>
      <c r="D284" s="70"/>
      <c r="E284" s="70"/>
    </row>
    <row r="285">
      <c r="B285" s="70"/>
      <c r="C285" s="70"/>
      <c r="D285" s="70"/>
      <c r="E285" s="70"/>
    </row>
    <row r="286">
      <c r="B286" s="70"/>
      <c r="C286" s="70"/>
      <c r="D286" s="70"/>
      <c r="E286" s="70"/>
    </row>
    <row r="287">
      <c r="B287" s="70"/>
      <c r="C287" s="70"/>
      <c r="D287" s="70"/>
      <c r="E287" s="70"/>
    </row>
    <row r="288">
      <c r="B288" s="70"/>
      <c r="C288" s="70"/>
      <c r="D288" s="70"/>
      <c r="E288" s="70"/>
    </row>
    <row r="289">
      <c r="B289" s="70"/>
      <c r="C289" s="70"/>
      <c r="D289" s="70"/>
      <c r="E289" s="70"/>
    </row>
    <row r="290">
      <c r="B290" s="70"/>
      <c r="C290" s="70"/>
      <c r="D290" s="70"/>
      <c r="E290" s="70"/>
    </row>
    <row r="291">
      <c r="B291" s="70"/>
      <c r="C291" s="70"/>
      <c r="D291" s="70"/>
      <c r="E291" s="70"/>
    </row>
    <row r="292">
      <c r="B292" s="70"/>
      <c r="C292" s="70"/>
      <c r="D292" s="70"/>
      <c r="E292" s="70"/>
    </row>
    <row r="293">
      <c r="B293" s="70"/>
      <c r="C293" s="70"/>
      <c r="D293" s="70"/>
      <c r="E293" s="70"/>
    </row>
    <row r="294">
      <c r="B294" s="70"/>
      <c r="C294" s="70"/>
      <c r="D294" s="70"/>
      <c r="E294" s="70"/>
    </row>
    <row r="295">
      <c r="B295" s="70"/>
      <c r="C295" s="70"/>
      <c r="D295" s="70"/>
      <c r="E295" s="70"/>
    </row>
    <row r="296">
      <c r="B296" s="70"/>
      <c r="C296" s="70"/>
      <c r="D296" s="70"/>
      <c r="E296" s="70"/>
    </row>
    <row r="297">
      <c r="B297" s="70"/>
      <c r="C297" s="70"/>
      <c r="D297" s="70"/>
      <c r="E297" s="70"/>
    </row>
    <row r="298">
      <c r="B298" s="70"/>
      <c r="C298" s="70"/>
      <c r="D298" s="70"/>
      <c r="E298" s="70"/>
    </row>
    <row r="299">
      <c r="B299" s="70"/>
      <c r="C299" s="70"/>
      <c r="D299" s="70"/>
      <c r="E299" s="70"/>
    </row>
    <row r="300">
      <c r="B300" s="70"/>
      <c r="C300" s="70"/>
      <c r="D300" s="70"/>
      <c r="E300" s="70"/>
    </row>
    <row r="301">
      <c r="B301" s="70"/>
      <c r="C301" s="70"/>
      <c r="D301" s="70"/>
      <c r="E301" s="70"/>
    </row>
    <row r="302">
      <c r="B302" s="70"/>
      <c r="C302" s="70"/>
      <c r="D302" s="70"/>
      <c r="E302" s="70"/>
    </row>
    <row r="303">
      <c r="B303" s="70"/>
      <c r="C303" s="70"/>
      <c r="D303" s="70"/>
      <c r="E303" s="70"/>
    </row>
    <row r="304">
      <c r="B304" s="70"/>
      <c r="C304" s="70"/>
      <c r="D304" s="70"/>
      <c r="E304" s="70"/>
    </row>
    <row r="305">
      <c r="B305" s="70"/>
      <c r="C305" s="70"/>
      <c r="D305" s="70"/>
      <c r="E305" s="70"/>
    </row>
    <row r="306">
      <c r="B306" s="70"/>
      <c r="C306" s="70"/>
      <c r="D306" s="70"/>
      <c r="E306" s="70"/>
    </row>
    <row r="307">
      <c r="B307" s="70"/>
      <c r="C307" s="70"/>
      <c r="D307" s="70"/>
      <c r="E307" s="70"/>
    </row>
    <row r="308">
      <c r="B308" s="70"/>
      <c r="C308" s="70"/>
      <c r="D308" s="70"/>
      <c r="E308" s="70"/>
    </row>
    <row r="309">
      <c r="B309" s="70"/>
      <c r="C309" s="70"/>
      <c r="D309" s="70"/>
      <c r="E309" s="70"/>
    </row>
    <row r="310">
      <c r="B310" s="70"/>
      <c r="C310" s="70"/>
      <c r="D310" s="70"/>
      <c r="E310" s="70"/>
    </row>
    <row r="311">
      <c r="B311" s="70"/>
      <c r="C311" s="70"/>
      <c r="D311" s="70"/>
      <c r="E311" s="70"/>
    </row>
    <row r="312">
      <c r="B312" s="70"/>
      <c r="C312" s="70"/>
      <c r="D312" s="70"/>
      <c r="E312" s="70"/>
    </row>
    <row r="313">
      <c r="B313" s="70"/>
      <c r="C313" s="70"/>
      <c r="D313" s="70"/>
      <c r="E313" s="70"/>
    </row>
    <row r="314">
      <c r="B314" s="70"/>
      <c r="C314" s="70"/>
      <c r="D314" s="70"/>
      <c r="E314" s="70"/>
    </row>
    <row r="315">
      <c r="B315" s="70"/>
      <c r="C315" s="70"/>
      <c r="D315" s="70"/>
      <c r="E315" s="70"/>
    </row>
    <row r="316">
      <c r="B316" s="70"/>
      <c r="C316" s="70"/>
      <c r="D316" s="70"/>
      <c r="E316" s="70"/>
    </row>
    <row r="317">
      <c r="B317" s="70"/>
      <c r="C317" s="70"/>
      <c r="D317" s="70"/>
      <c r="E317" s="70"/>
    </row>
    <row r="318">
      <c r="B318" s="70"/>
      <c r="C318" s="70"/>
      <c r="D318" s="70"/>
      <c r="E318" s="70"/>
    </row>
    <row r="319">
      <c r="B319" s="70"/>
      <c r="C319" s="70"/>
      <c r="D319" s="70"/>
      <c r="E319" s="70"/>
    </row>
    <row r="320">
      <c r="B320" s="70"/>
      <c r="C320" s="70"/>
      <c r="D320" s="70"/>
      <c r="E320" s="70"/>
    </row>
    <row r="321">
      <c r="B321" s="70"/>
      <c r="C321" s="70"/>
      <c r="D321" s="70"/>
      <c r="E321" s="70"/>
    </row>
    <row r="322">
      <c r="B322" s="70"/>
      <c r="C322" s="70"/>
      <c r="D322" s="70"/>
      <c r="E322" s="70"/>
    </row>
    <row r="323">
      <c r="B323" s="70"/>
      <c r="C323" s="70"/>
      <c r="D323" s="70"/>
      <c r="E323" s="70"/>
    </row>
    <row r="324">
      <c r="B324" s="70"/>
      <c r="C324" s="70"/>
      <c r="D324" s="70"/>
      <c r="E324" s="70"/>
    </row>
    <row r="325">
      <c r="B325" s="70"/>
      <c r="C325" s="70"/>
      <c r="D325" s="70"/>
      <c r="E325" s="70"/>
    </row>
    <row r="326">
      <c r="B326" s="70"/>
      <c r="C326" s="70"/>
      <c r="D326" s="70"/>
      <c r="E326" s="70"/>
    </row>
    <row r="327">
      <c r="B327" s="70"/>
      <c r="C327" s="70"/>
      <c r="D327" s="70"/>
      <c r="E327" s="70"/>
    </row>
    <row r="328">
      <c r="B328" s="70"/>
      <c r="C328" s="70"/>
      <c r="D328" s="70"/>
      <c r="E328" s="70"/>
    </row>
    <row r="329">
      <c r="B329" s="70"/>
      <c r="C329" s="70"/>
      <c r="D329" s="70"/>
      <c r="E329" s="70"/>
    </row>
    <row r="330">
      <c r="B330" s="70"/>
      <c r="C330" s="70"/>
      <c r="D330" s="70"/>
      <c r="E330" s="70"/>
    </row>
    <row r="331">
      <c r="B331" s="70"/>
      <c r="C331" s="70"/>
      <c r="D331" s="70"/>
      <c r="E331" s="70"/>
    </row>
    <row r="332">
      <c r="B332" s="70"/>
      <c r="C332" s="70"/>
      <c r="D332" s="70"/>
      <c r="E332" s="70"/>
    </row>
    <row r="333">
      <c r="B333" s="70"/>
      <c r="C333" s="70"/>
      <c r="D333" s="70"/>
      <c r="E333" s="70"/>
    </row>
    <row r="334">
      <c r="B334" s="70"/>
      <c r="C334" s="70"/>
      <c r="D334" s="70"/>
      <c r="E334" s="70"/>
    </row>
    <row r="335">
      <c r="B335" s="70"/>
      <c r="C335" s="70"/>
      <c r="D335" s="70"/>
      <c r="E335" s="70"/>
    </row>
    <row r="336">
      <c r="B336" s="70"/>
      <c r="C336" s="70"/>
      <c r="D336" s="70"/>
      <c r="E336" s="70"/>
    </row>
    <row r="337">
      <c r="B337" s="70"/>
      <c r="C337" s="70"/>
      <c r="D337" s="70"/>
      <c r="E337" s="70"/>
    </row>
    <row r="338">
      <c r="B338" s="70"/>
      <c r="C338" s="70"/>
      <c r="D338" s="70"/>
      <c r="E338" s="70"/>
    </row>
    <row r="339">
      <c r="B339" s="70"/>
      <c r="C339" s="70"/>
      <c r="D339" s="70"/>
      <c r="E339" s="70"/>
    </row>
    <row r="340">
      <c r="B340" s="70"/>
      <c r="C340" s="70"/>
      <c r="D340" s="70"/>
      <c r="E340" s="70"/>
    </row>
    <row r="341">
      <c r="B341" s="70"/>
      <c r="C341" s="70"/>
      <c r="D341" s="70"/>
      <c r="E341" s="70"/>
    </row>
    <row r="342">
      <c r="B342" s="70"/>
      <c r="C342" s="70"/>
      <c r="D342" s="70"/>
      <c r="E342" s="70"/>
    </row>
    <row r="343">
      <c r="B343" s="70"/>
      <c r="C343" s="70"/>
      <c r="D343" s="70"/>
      <c r="E343" s="70"/>
    </row>
    <row r="344">
      <c r="B344" s="70"/>
      <c r="C344" s="70"/>
      <c r="D344" s="70"/>
      <c r="E344" s="70"/>
    </row>
    <row r="345">
      <c r="B345" s="70"/>
      <c r="C345" s="70"/>
      <c r="D345" s="70"/>
      <c r="E345" s="70"/>
    </row>
    <row r="346">
      <c r="B346" s="70"/>
      <c r="C346" s="70"/>
      <c r="D346" s="70"/>
      <c r="E346" s="70"/>
    </row>
    <row r="347">
      <c r="B347" s="70"/>
      <c r="C347" s="70"/>
      <c r="D347" s="70"/>
      <c r="E347" s="70"/>
    </row>
    <row r="348">
      <c r="B348" s="70"/>
      <c r="C348" s="70"/>
      <c r="D348" s="70"/>
      <c r="E348" s="70"/>
    </row>
    <row r="349">
      <c r="B349" s="70"/>
      <c r="C349" s="70"/>
      <c r="D349" s="70"/>
      <c r="E349" s="70"/>
    </row>
    <row r="350">
      <c r="B350" s="70"/>
      <c r="C350" s="70"/>
      <c r="D350" s="70"/>
      <c r="E350" s="70"/>
    </row>
    <row r="351">
      <c r="B351" s="70"/>
      <c r="C351" s="70"/>
      <c r="D351" s="70"/>
      <c r="E351" s="70"/>
    </row>
    <row r="352">
      <c r="B352" s="70"/>
      <c r="C352" s="70"/>
      <c r="D352" s="70"/>
      <c r="E352" s="70"/>
    </row>
    <row r="353">
      <c r="B353" s="70"/>
      <c r="C353" s="70"/>
      <c r="D353" s="70"/>
      <c r="E353" s="70"/>
    </row>
    <row r="354">
      <c r="B354" s="70"/>
      <c r="C354" s="70"/>
      <c r="D354" s="70"/>
      <c r="E354" s="70"/>
    </row>
    <row r="355">
      <c r="B355" s="70"/>
      <c r="C355" s="70"/>
      <c r="D355" s="70"/>
      <c r="E355" s="70"/>
    </row>
    <row r="356">
      <c r="B356" s="70"/>
      <c r="C356" s="70"/>
      <c r="D356" s="70"/>
      <c r="E356" s="70"/>
    </row>
    <row r="357">
      <c r="B357" s="70"/>
      <c r="C357" s="70"/>
      <c r="D357" s="70"/>
      <c r="E357" s="70"/>
    </row>
    <row r="358">
      <c r="B358" s="70"/>
      <c r="C358" s="70"/>
      <c r="D358" s="70"/>
      <c r="E358" s="70"/>
    </row>
    <row r="359">
      <c r="B359" s="70"/>
      <c r="C359" s="70"/>
      <c r="D359" s="70"/>
      <c r="E359" s="70"/>
    </row>
    <row r="360">
      <c r="B360" s="70"/>
      <c r="C360" s="70"/>
      <c r="D360" s="70"/>
      <c r="E360" s="70"/>
    </row>
    <row r="361">
      <c r="B361" s="70"/>
      <c r="C361" s="70"/>
      <c r="D361" s="70"/>
      <c r="E361" s="70"/>
    </row>
    <row r="362">
      <c r="B362" s="70"/>
      <c r="C362" s="70"/>
      <c r="D362" s="70"/>
      <c r="E362" s="70"/>
    </row>
    <row r="363">
      <c r="B363" s="70"/>
      <c r="C363" s="70"/>
      <c r="D363" s="70"/>
      <c r="E363" s="70"/>
    </row>
    <row r="364">
      <c r="B364" s="70"/>
      <c r="C364" s="70"/>
      <c r="D364" s="70"/>
      <c r="E364" s="70"/>
    </row>
    <row r="365">
      <c r="B365" s="70"/>
      <c r="C365" s="70"/>
      <c r="D365" s="70"/>
      <c r="E365" s="70"/>
    </row>
    <row r="366">
      <c r="B366" s="70"/>
      <c r="C366" s="70"/>
      <c r="D366" s="70"/>
      <c r="E366" s="70"/>
    </row>
    <row r="367">
      <c r="B367" s="70"/>
      <c r="C367" s="70"/>
      <c r="D367" s="70"/>
      <c r="E367" s="70"/>
    </row>
    <row r="368">
      <c r="B368" s="70"/>
      <c r="C368" s="70"/>
      <c r="D368" s="70"/>
      <c r="E368" s="70"/>
    </row>
    <row r="369">
      <c r="B369" s="70"/>
      <c r="C369" s="70"/>
      <c r="D369" s="70"/>
      <c r="E369" s="70"/>
    </row>
    <row r="370">
      <c r="B370" s="70"/>
      <c r="C370" s="70"/>
      <c r="D370" s="70"/>
      <c r="E370" s="70"/>
    </row>
    <row r="371">
      <c r="B371" s="70"/>
      <c r="C371" s="70"/>
      <c r="D371" s="70"/>
      <c r="E371" s="70"/>
    </row>
    <row r="372">
      <c r="B372" s="70"/>
      <c r="C372" s="70"/>
      <c r="D372" s="70"/>
      <c r="E372" s="70"/>
    </row>
    <row r="373">
      <c r="B373" s="70"/>
      <c r="C373" s="70"/>
      <c r="D373" s="70"/>
      <c r="E373" s="70"/>
    </row>
    <row r="374">
      <c r="B374" s="70"/>
      <c r="C374" s="70"/>
      <c r="D374" s="70"/>
      <c r="E374" s="70"/>
    </row>
    <row r="375">
      <c r="B375" s="70"/>
      <c r="C375" s="70"/>
      <c r="D375" s="70"/>
      <c r="E375" s="70"/>
    </row>
    <row r="376">
      <c r="B376" s="70"/>
      <c r="C376" s="70"/>
      <c r="D376" s="70"/>
      <c r="E376" s="70"/>
    </row>
    <row r="377">
      <c r="B377" s="70"/>
      <c r="C377" s="70"/>
      <c r="D377" s="70"/>
      <c r="E377" s="70"/>
    </row>
    <row r="378">
      <c r="B378" s="70"/>
      <c r="C378" s="70"/>
      <c r="D378" s="70"/>
      <c r="E378" s="70"/>
    </row>
    <row r="379">
      <c r="B379" s="70"/>
      <c r="C379" s="70"/>
      <c r="D379" s="70"/>
      <c r="E379" s="70"/>
    </row>
    <row r="380">
      <c r="B380" s="70"/>
      <c r="C380" s="70"/>
      <c r="D380" s="70"/>
      <c r="E380" s="70"/>
    </row>
    <row r="381">
      <c r="B381" s="70"/>
      <c r="C381" s="70"/>
      <c r="D381" s="70"/>
      <c r="E381" s="70"/>
    </row>
    <row r="382">
      <c r="B382" s="70"/>
      <c r="C382" s="70"/>
      <c r="D382" s="70"/>
      <c r="E382" s="70"/>
    </row>
    <row r="383">
      <c r="B383" s="70"/>
      <c r="C383" s="70"/>
      <c r="D383" s="70"/>
      <c r="E383" s="70"/>
    </row>
    <row r="384">
      <c r="B384" s="70"/>
      <c r="C384" s="70"/>
      <c r="D384" s="70"/>
      <c r="E384" s="70"/>
    </row>
    <row r="385">
      <c r="B385" s="70"/>
      <c r="C385" s="70"/>
      <c r="D385" s="70"/>
      <c r="E385" s="70"/>
    </row>
    <row r="386">
      <c r="B386" s="70"/>
      <c r="C386" s="70"/>
      <c r="D386" s="70"/>
      <c r="E386" s="70"/>
    </row>
    <row r="387">
      <c r="B387" s="70"/>
      <c r="C387" s="70"/>
      <c r="D387" s="70"/>
      <c r="E387" s="70"/>
    </row>
    <row r="388">
      <c r="B388" s="70"/>
      <c r="C388" s="70"/>
      <c r="D388" s="70"/>
      <c r="E388" s="70"/>
    </row>
    <row r="389">
      <c r="B389" s="70"/>
      <c r="C389" s="70"/>
      <c r="D389" s="70"/>
      <c r="E389" s="70"/>
    </row>
    <row r="390">
      <c r="B390" s="70"/>
      <c r="C390" s="70"/>
      <c r="D390" s="70"/>
      <c r="E390" s="70"/>
    </row>
    <row r="391">
      <c r="B391" s="70"/>
      <c r="C391" s="70"/>
      <c r="D391" s="70"/>
      <c r="E391" s="70"/>
    </row>
    <row r="392">
      <c r="B392" s="70"/>
      <c r="C392" s="70"/>
      <c r="D392" s="70"/>
      <c r="E392" s="70"/>
    </row>
    <row r="393">
      <c r="B393" s="70"/>
      <c r="C393" s="70"/>
      <c r="D393" s="70"/>
      <c r="E393" s="70"/>
    </row>
    <row r="394">
      <c r="B394" s="70"/>
      <c r="C394" s="70"/>
      <c r="D394" s="70"/>
      <c r="E394" s="70"/>
    </row>
    <row r="395">
      <c r="B395" s="70"/>
      <c r="C395" s="70"/>
      <c r="D395" s="70"/>
      <c r="E395" s="70"/>
    </row>
    <row r="396">
      <c r="B396" s="70"/>
      <c r="C396" s="70"/>
      <c r="D396" s="70"/>
      <c r="E396" s="70"/>
    </row>
    <row r="397">
      <c r="B397" s="70"/>
      <c r="C397" s="70"/>
      <c r="D397" s="70"/>
      <c r="E397" s="70"/>
    </row>
    <row r="398">
      <c r="B398" s="70"/>
      <c r="C398" s="70"/>
      <c r="D398" s="70"/>
      <c r="E398" s="70"/>
    </row>
    <row r="399">
      <c r="B399" s="70"/>
      <c r="C399" s="70"/>
      <c r="D399" s="70"/>
      <c r="E399" s="70"/>
    </row>
    <row r="400">
      <c r="B400" s="70"/>
      <c r="C400" s="70"/>
      <c r="D400" s="70"/>
      <c r="E400" s="70"/>
    </row>
    <row r="401">
      <c r="B401" s="70"/>
      <c r="C401" s="70"/>
      <c r="D401" s="70"/>
      <c r="E401" s="70"/>
    </row>
    <row r="402">
      <c r="B402" s="70"/>
      <c r="C402" s="70"/>
      <c r="D402" s="70"/>
      <c r="E402" s="70"/>
    </row>
    <row r="403">
      <c r="B403" s="70"/>
      <c r="C403" s="70"/>
      <c r="D403" s="70"/>
      <c r="E403" s="70"/>
    </row>
    <row r="404">
      <c r="B404" s="70"/>
      <c r="C404" s="70"/>
      <c r="D404" s="70"/>
      <c r="E404" s="70"/>
    </row>
    <row r="405">
      <c r="B405" s="70"/>
      <c r="C405" s="70"/>
      <c r="D405" s="70"/>
      <c r="E405" s="70"/>
    </row>
    <row r="406">
      <c r="B406" s="70"/>
      <c r="C406" s="70"/>
      <c r="D406" s="70"/>
      <c r="E406" s="70"/>
    </row>
    <row r="407">
      <c r="B407" s="70"/>
      <c r="C407" s="70"/>
      <c r="D407" s="70"/>
      <c r="E407" s="70"/>
    </row>
    <row r="408">
      <c r="B408" s="70"/>
      <c r="C408" s="70"/>
      <c r="D408" s="70"/>
      <c r="E408" s="70"/>
    </row>
    <row r="409">
      <c r="B409" s="70"/>
      <c r="C409" s="70"/>
      <c r="D409" s="70"/>
      <c r="E409" s="70"/>
    </row>
    <row r="410">
      <c r="B410" s="70"/>
      <c r="C410" s="70"/>
      <c r="D410" s="70"/>
      <c r="E410" s="70"/>
    </row>
    <row r="411">
      <c r="B411" s="70"/>
      <c r="C411" s="70"/>
      <c r="D411" s="70"/>
      <c r="E411" s="70"/>
    </row>
    <row r="412">
      <c r="B412" s="70"/>
      <c r="C412" s="70"/>
      <c r="D412" s="70"/>
      <c r="E412" s="70"/>
    </row>
    <row r="413">
      <c r="B413" s="70"/>
      <c r="C413" s="70"/>
      <c r="D413" s="70"/>
      <c r="E413" s="70"/>
    </row>
    <row r="414">
      <c r="B414" s="70"/>
      <c r="C414" s="70"/>
      <c r="D414" s="70"/>
      <c r="E414" s="70"/>
    </row>
    <row r="415">
      <c r="B415" s="70"/>
      <c r="C415" s="70"/>
      <c r="D415" s="70"/>
      <c r="E415" s="70"/>
    </row>
    <row r="416">
      <c r="B416" s="70"/>
      <c r="C416" s="70"/>
      <c r="D416" s="70"/>
      <c r="E416" s="70"/>
    </row>
    <row r="417">
      <c r="B417" s="70"/>
      <c r="C417" s="70"/>
      <c r="D417" s="70"/>
      <c r="E417" s="70"/>
    </row>
    <row r="418">
      <c r="B418" s="70"/>
      <c r="C418" s="70"/>
      <c r="D418" s="70"/>
      <c r="E418" s="70"/>
    </row>
    <row r="419">
      <c r="B419" s="70"/>
      <c r="C419" s="70"/>
      <c r="D419" s="70"/>
      <c r="E419" s="70"/>
    </row>
    <row r="420">
      <c r="B420" s="70"/>
      <c r="C420" s="70"/>
      <c r="D420" s="70"/>
      <c r="E420" s="70"/>
    </row>
    <row r="421">
      <c r="B421" s="70"/>
      <c r="C421" s="70"/>
      <c r="D421" s="70"/>
      <c r="E421" s="70"/>
    </row>
    <row r="422">
      <c r="B422" s="70"/>
      <c r="C422" s="70"/>
      <c r="D422" s="70"/>
      <c r="E422" s="70"/>
    </row>
    <row r="423">
      <c r="B423" s="70"/>
      <c r="C423" s="70"/>
      <c r="D423" s="70"/>
      <c r="E423" s="70"/>
    </row>
    <row r="424">
      <c r="B424" s="70"/>
      <c r="C424" s="70"/>
      <c r="D424" s="70"/>
      <c r="E424" s="70"/>
    </row>
    <row r="425">
      <c r="B425" s="70"/>
      <c r="C425" s="70"/>
      <c r="D425" s="70"/>
      <c r="E425" s="70"/>
    </row>
    <row r="426">
      <c r="B426" s="70"/>
      <c r="C426" s="70"/>
      <c r="D426" s="70"/>
      <c r="E426" s="70"/>
    </row>
    <row r="427">
      <c r="B427" s="70"/>
      <c r="C427" s="70"/>
      <c r="D427" s="70"/>
      <c r="E427" s="70"/>
    </row>
    <row r="428">
      <c r="B428" s="70"/>
      <c r="C428" s="70"/>
      <c r="D428" s="70"/>
      <c r="E428" s="70"/>
    </row>
    <row r="429">
      <c r="B429" s="70"/>
      <c r="C429" s="70"/>
      <c r="D429" s="70"/>
      <c r="E429" s="70"/>
    </row>
    <row r="430">
      <c r="B430" s="70"/>
      <c r="C430" s="70"/>
      <c r="D430" s="70"/>
      <c r="E430" s="70"/>
    </row>
    <row r="431">
      <c r="B431" s="70"/>
      <c r="C431" s="70"/>
      <c r="D431" s="70"/>
      <c r="E431" s="70"/>
    </row>
    <row r="432">
      <c r="B432" s="70"/>
      <c r="C432" s="70"/>
      <c r="D432" s="70"/>
      <c r="E432" s="70"/>
    </row>
    <row r="433">
      <c r="B433" s="70"/>
      <c r="C433" s="70"/>
      <c r="D433" s="70"/>
      <c r="E433" s="70"/>
    </row>
    <row r="434">
      <c r="B434" s="70"/>
      <c r="C434" s="70"/>
      <c r="D434" s="70"/>
      <c r="E434" s="70"/>
    </row>
    <row r="435">
      <c r="B435" s="70"/>
      <c r="C435" s="70"/>
      <c r="D435" s="70"/>
      <c r="E435" s="70"/>
    </row>
    <row r="436">
      <c r="B436" s="70"/>
      <c r="C436" s="70"/>
      <c r="D436" s="70"/>
      <c r="E436" s="70"/>
    </row>
    <row r="437">
      <c r="B437" s="70"/>
      <c r="C437" s="70"/>
      <c r="D437" s="70"/>
      <c r="E437" s="70"/>
    </row>
    <row r="438">
      <c r="B438" s="70"/>
      <c r="C438" s="70"/>
      <c r="D438" s="70"/>
      <c r="E438" s="70"/>
    </row>
    <row r="439">
      <c r="B439" s="70"/>
      <c r="C439" s="70"/>
      <c r="D439" s="70"/>
      <c r="E439" s="70"/>
    </row>
    <row r="440">
      <c r="B440" s="70"/>
      <c r="C440" s="70"/>
      <c r="D440" s="70"/>
      <c r="E440" s="70"/>
    </row>
    <row r="441">
      <c r="B441" s="70"/>
      <c r="C441" s="70"/>
      <c r="D441" s="70"/>
      <c r="E441" s="70"/>
    </row>
    <row r="442">
      <c r="B442" s="70"/>
      <c r="C442" s="70"/>
      <c r="D442" s="70"/>
      <c r="E442" s="70"/>
    </row>
    <row r="443">
      <c r="B443" s="70"/>
      <c r="C443" s="70"/>
      <c r="D443" s="70"/>
      <c r="E443" s="70"/>
    </row>
    <row r="444">
      <c r="B444" s="70"/>
      <c r="C444" s="70"/>
      <c r="D444" s="70"/>
      <c r="E444" s="70"/>
    </row>
    <row r="445">
      <c r="B445" s="70"/>
      <c r="C445" s="70"/>
      <c r="D445" s="70"/>
      <c r="E445" s="70"/>
    </row>
    <row r="446">
      <c r="B446" s="70"/>
      <c r="C446" s="70"/>
      <c r="D446" s="70"/>
      <c r="E446" s="70"/>
    </row>
    <row r="447">
      <c r="B447" s="70"/>
      <c r="C447" s="70"/>
      <c r="D447" s="70"/>
      <c r="E447" s="70"/>
    </row>
    <row r="448">
      <c r="B448" s="70"/>
      <c r="C448" s="70"/>
      <c r="D448" s="70"/>
      <c r="E448" s="70"/>
    </row>
    <row r="449">
      <c r="B449" s="70"/>
      <c r="C449" s="70"/>
      <c r="D449" s="70"/>
      <c r="E449" s="70"/>
    </row>
    <row r="450">
      <c r="B450" s="70"/>
      <c r="C450" s="70"/>
      <c r="D450" s="70"/>
      <c r="E450" s="70"/>
    </row>
    <row r="451">
      <c r="B451" s="70"/>
      <c r="C451" s="70"/>
      <c r="D451" s="70"/>
      <c r="E451" s="70"/>
    </row>
    <row r="452">
      <c r="B452" s="70"/>
      <c r="C452" s="70"/>
      <c r="D452" s="70"/>
      <c r="E452" s="70"/>
    </row>
    <row r="453">
      <c r="B453" s="70"/>
      <c r="C453" s="70"/>
      <c r="D453" s="70"/>
      <c r="E453" s="70"/>
    </row>
    <row r="454">
      <c r="B454" s="70"/>
      <c r="C454" s="70"/>
      <c r="D454" s="70"/>
      <c r="E454" s="70"/>
    </row>
    <row r="455">
      <c r="B455" s="70"/>
      <c r="C455" s="70"/>
      <c r="D455" s="70"/>
      <c r="E455" s="70"/>
    </row>
    <row r="456">
      <c r="B456" s="70"/>
      <c r="C456" s="70"/>
      <c r="D456" s="70"/>
      <c r="E456" s="70"/>
    </row>
    <row r="457">
      <c r="B457" s="70"/>
      <c r="C457" s="70"/>
      <c r="D457" s="70"/>
      <c r="E457" s="70"/>
    </row>
    <row r="458">
      <c r="B458" s="70"/>
      <c r="C458" s="70"/>
      <c r="D458" s="70"/>
      <c r="E458" s="70"/>
    </row>
    <row r="459">
      <c r="B459" s="70"/>
      <c r="C459" s="70"/>
      <c r="D459" s="70"/>
      <c r="E459" s="70"/>
    </row>
    <row r="460">
      <c r="B460" s="70"/>
      <c r="C460" s="70"/>
      <c r="D460" s="70"/>
      <c r="E460" s="70"/>
    </row>
    <row r="461">
      <c r="B461" s="70"/>
      <c r="C461" s="70"/>
      <c r="D461" s="70"/>
      <c r="E461" s="70"/>
    </row>
    <row r="462">
      <c r="B462" s="70"/>
      <c r="C462" s="70"/>
      <c r="D462" s="70"/>
      <c r="E462" s="70"/>
    </row>
    <row r="463">
      <c r="B463" s="70"/>
      <c r="C463" s="70"/>
      <c r="D463" s="70"/>
      <c r="E463" s="70"/>
    </row>
    <row r="464">
      <c r="B464" s="70"/>
      <c r="C464" s="70"/>
      <c r="D464" s="70"/>
      <c r="E464" s="70"/>
    </row>
    <row r="465">
      <c r="B465" s="70"/>
      <c r="C465" s="70"/>
      <c r="D465" s="70"/>
      <c r="E465" s="70"/>
    </row>
    <row r="466">
      <c r="B466" s="70"/>
      <c r="C466" s="70"/>
      <c r="D466" s="70"/>
      <c r="E466" s="70"/>
    </row>
    <row r="467">
      <c r="B467" s="70"/>
      <c r="C467" s="70"/>
      <c r="D467" s="70"/>
      <c r="E467" s="70"/>
    </row>
    <row r="468">
      <c r="B468" s="70"/>
      <c r="C468" s="70"/>
      <c r="D468" s="70"/>
      <c r="E468" s="70"/>
    </row>
    <row r="469">
      <c r="B469" s="70"/>
      <c r="C469" s="70"/>
      <c r="D469" s="70"/>
      <c r="E469" s="70"/>
    </row>
    <row r="470">
      <c r="B470" s="70"/>
      <c r="C470" s="70"/>
      <c r="D470" s="70"/>
      <c r="E470" s="70"/>
    </row>
    <row r="471">
      <c r="B471" s="70"/>
      <c r="C471" s="70"/>
      <c r="D471" s="70"/>
      <c r="E471" s="70"/>
    </row>
    <row r="472">
      <c r="B472" s="70"/>
      <c r="C472" s="70"/>
      <c r="D472" s="70"/>
      <c r="E472" s="70"/>
    </row>
    <row r="473">
      <c r="B473" s="70"/>
      <c r="C473" s="70"/>
      <c r="D473" s="70"/>
      <c r="E473" s="70"/>
    </row>
    <row r="474">
      <c r="B474" s="70"/>
      <c r="C474" s="70"/>
      <c r="D474" s="70"/>
      <c r="E474" s="70"/>
    </row>
    <row r="475">
      <c r="B475" s="70"/>
      <c r="C475" s="70"/>
      <c r="D475" s="70"/>
      <c r="E475" s="70"/>
    </row>
    <row r="476">
      <c r="B476" s="70"/>
      <c r="C476" s="70"/>
      <c r="D476" s="70"/>
      <c r="E476" s="70"/>
    </row>
    <row r="477">
      <c r="B477" s="70"/>
      <c r="C477" s="70"/>
      <c r="D477" s="70"/>
      <c r="E477" s="70"/>
    </row>
    <row r="478">
      <c r="B478" s="70"/>
      <c r="C478" s="70"/>
      <c r="D478" s="70"/>
      <c r="E478" s="70"/>
    </row>
    <row r="479">
      <c r="B479" s="70"/>
      <c r="C479" s="70"/>
      <c r="D479" s="70"/>
      <c r="E479" s="70"/>
    </row>
    <row r="480">
      <c r="B480" s="70"/>
      <c r="C480" s="70"/>
      <c r="D480" s="70"/>
      <c r="E480" s="70"/>
    </row>
    <row r="481">
      <c r="B481" s="70"/>
      <c r="C481" s="70"/>
      <c r="D481" s="70"/>
      <c r="E481" s="70"/>
    </row>
    <row r="482">
      <c r="B482" s="70"/>
      <c r="C482" s="70"/>
      <c r="D482" s="70"/>
      <c r="E482" s="70"/>
    </row>
    <row r="483">
      <c r="B483" s="70"/>
      <c r="C483" s="70"/>
      <c r="D483" s="70"/>
      <c r="E483" s="70"/>
    </row>
    <row r="484">
      <c r="B484" s="70"/>
      <c r="C484" s="70"/>
      <c r="D484" s="70"/>
      <c r="E484" s="70"/>
    </row>
    <row r="485">
      <c r="B485" s="70"/>
      <c r="C485" s="70"/>
      <c r="D485" s="70"/>
      <c r="E485" s="70"/>
    </row>
    <row r="486">
      <c r="B486" s="70"/>
      <c r="C486" s="70"/>
      <c r="D486" s="70"/>
      <c r="E486" s="70"/>
    </row>
    <row r="487">
      <c r="B487" s="70"/>
      <c r="C487" s="70"/>
      <c r="D487" s="70"/>
      <c r="E487" s="70"/>
    </row>
    <row r="488">
      <c r="B488" s="70"/>
      <c r="C488" s="70"/>
      <c r="D488" s="70"/>
      <c r="E488" s="70"/>
    </row>
    <row r="489">
      <c r="B489" s="70"/>
      <c r="C489" s="70"/>
      <c r="D489" s="70"/>
      <c r="E489" s="70"/>
    </row>
    <row r="490">
      <c r="B490" s="70"/>
      <c r="C490" s="70"/>
      <c r="D490" s="70"/>
      <c r="E490" s="70"/>
    </row>
    <row r="491">
      <c r="B491" s="70"/>
      <c r="C491" s="70"/>
      <c r="D491" s="70"/>
      <c r="E491" s="70"/>
    </row>
    <row r="492">
      <c r="B492" s="70"/>
      <c r="C492" s="70"/>
      <c r="D492" s="70"/>
      <c r="E492" s="70"/>
    </row>
    <row r="493">
      <c r="B493" s="70"/>
      <c r="C493" s="70"/>
      <c r="D493" s="70"/>
      <c r="E493" s="70"/>
    </row>
    <row r="494">
      <c r="B494" s="70"/>
      <c r="C494" s="70"/>
      <c r="D494" s="70"/>
      <c r="E494" s="70"/>
    </row>
    <row r="495">
      <c r="B495" s="70"/>
      <c r="C495" s="70"/>
      <c r="D495" s="70"/>
      <c r="E495" s="70"/>
    </row>
    <row r="496">
      <c r="B496" s="70"/>
      <c r="C496" s="70"/>
      <c r="D496" s="70"/>
      <c r="E496" s="70"/>
    </row>
    <row r="497">
      <c r="B497" s="70"/>
      <c r="C497" s="70"/>
      <c r="D497" s="70"/>
      <c r="E497" s="70"/>
    </row>
    <row r="498">
      <c r="B498" s="70"/>
      <c r="C498" s="70"/>
      <c r="D498" s="70"/>
      <c r="E498" s="70"/>
    </row>
    <row r="499">
      <c r="B499" s="70"/>
      <c r="C499" s="70"/>
      <c r="D499" s="70"/>
      <c r="E499" s="70"/>
    </row>
    <row r="500">
      <c r="B500" s="70"/>
      <c r="C500" s="70"/>
      <c r="D500" s="70"/>
      <c r="E500" s="70"/>
    </row>
    <row r="501">
      <c r="B501" s="70"/>
      <c r="C501" s="70"/>
      <c r="D501" s="70"/>
      <c r="E501" s="70"/>
    </row>
    <row r="502">
      <c r="B502" s="70"/>
      <c r="C502" s="70"/>
      <c r="D502" s="70"/>
      <c r="E502" s="70"/>
    </row>
    <row r="503">
      <c r="B503" s="70"/>
      <c r="C503" s="70"/>
      <c r="D503" s="70"/>
      <c r="E503" s="70"/>
    </row>
    <row r="504">
      <c r="B504" s="70"/>
      <c r="C504" s="70"/>
      <c r="D504" s="70"/>
      <c r="E504" s="70"/>
    </row>
    <row r="505">
      <c r="B505" s="70"/>
      <c r="C505" s="70"/>
      <c r="D505" s="70"/>
      <c r="E505" s="70"/>
    </row>
    <row r="506">
      <c r="B506" s="70"/>
      <c r="C506" s="70"/>
      <c r="D506" s="70"/>
      <c r="E506" s="70"/>
    </row>
    <row r="507">
      <c r="B507" s="70"/>
      <c r="C507" s="70"/>
      <c r="D507" s="70"/>
      <c r="E507" s="70"/>
    </row>
    <row r="508">
      <c r="B508" s="70"/>
      <c r="C508" s="70"/>
      <c r="D508" s="70"/>
      <c r="E508" s="70"/>
    </row>
    <row r="509">
      <c r="B509" s="70"/>
      <c r="C509" s="70"/>
      <c r="D509" s="70"/>
      <c r="E509" s="70"/>
    </row>
    <row r="510">
      <c r="B510" s="70"/>
      <c r="C510" s="70"/>
      <c r="D510" s="70"/>
      <c r="E510" s="70"/>
    </row>
    <row r="511">
      <c r="B511" s="70"/>
      <c r="C511" s="70"/>
      <c r="D511" s="70"/>
      <c r="E511" s="70"/>
    </row>
    <row r="512">
      <c r="B512" s="70"/>
      <c r="C512" s="70"/>
      <c r="D512" s="70"/>
      <c r="E512" s="70"/>
    </row>
    <row r="513">
      <c r="B513" s="70"/>
      <c r="C513" s="70"/>
      <c r="D513" s="70"/>
      <c r="E513" s="70"/>
    </row>
    <row r="514">
      <c r="B514" s="70"/>
      <c r="C514" s="70"/>
      <c r="D514" s="70"/>
      <c r="E514" s="70"/>
    </row>
    <row r="515">
      <c r="B515" s="70"/>
      <c r="C515" s="70"/>
      <c r="D515" s="70"/>
      <c r="E515" s="70"/>
    </row>
    <row r="516">
      <c r="B516" s="70"/>
      <c r="C516" s="70"/>
      <c r="D516" s="70"/>
      <c r="E516" s="70"/>
    </row>
    <row r="517">
      <c r="B517" s="70"/>
      <c r="C517" s="70"/>
      <c r="D517" s="70"/>
      <c r="E517" s="70"/>
    </row>
    <row r="518">
      <c r="B518" s="70"/>
      <c r="C518" s="70"/>
      <c r="D518" s="70"/>
      <c r="E518" s="70"/>
    </row>
    <row r="519">
      <c r="B519" s="70"/>
      <c r="C519" s="70"/>
      <c r="D519" s="70"/>
      <c r="E519" s="70"/>
    </row>
    <row r="520">
      <c r="B520" s="70"/>
      <c r="C520" s="70"/>
      <c r="D520" s="70"/>
      <c r="E520" s="70"/>
    </row>
    <row r="521">
      <c r="B521" s="70"/>
      <c r="C521" s="70"/>
      <c r="D521" s="70"/>
      <c r="E521" s="70"/>
    </row>
    <row r="522">
      <c r="B522" s="70"/>
      <c r="C522" s="70"/>
      <c r="D522" s="70"/>
      <c r="E522" s="70"/>
    </row>
    <row r="523">
      <c r="B523" s="70"/>
      <c r="C523" s="70"/>
      <c r="D523" s="70"/>
      <c r="E523" s="70"/>
    </row>
    <row r="524">
      <c r="B524" s="70"/>
      <c r="C524" s="70"/>
      <c r="D524" s="70"/>
      <c r="E524" s="70"/>
    </row>
    <row r="525">
      <c r="B525" s="70"/>
      <c r="C525" s="70"/>
      <c r="D525" s="70"/>
      <c r="E525" s="70"/>
    </row>
    <row r="526">
      <c r="B526" s="70"/>
      <c r="C526" s="70"/>
      <c r="D526" s="70"/>
      <c r="E526" s="70"/>
    </row>
    <row r="527">
      <c r="B527" s="70"/>
      <c r="C527" s="70"/>
      <c r="D527" s="70"/>
      <c r="E527" s="70"/>
    </row>
    <row r="528">
      <c r="B528" s="70"/>
      <c r="C528" s="70"/>
      <c r="D528" s="70"/>
      <c r="E528" s="70"/>
    </row>
    <row r="529">
      <c r="B529" s="70"/>
      <c r="C529" s="70"/>
      <c r="D529" s="70"/>
      <c r="E529" s="70"/>
    </row>
    <row r="530">
      <c r="B530" s="70"/>
      <c r="C530" s="70"/>
      <c r="D530" s="70"/>
      <c r="E530" s="70"/>
    </row>
    <row r="531">
      <c r="B531" s="70"/>
      <c r="C531" s="70"/>
      <c r="D531" s="70"/>
      <c r="E531" s="70"/>
    </row>
    <row r="532">
      <c r="B532" s="70"/>
      <c r="C532" s="70"/>
      <c r="D532" s="70"/>
      <c r="E532" s="70"/>
    </row>
    <row r="533">
      <c r="B533" s="70"/>
      <c r="C533" s="70"/>
      <c r="D533" s="70"/>
      <c r="E533" s="70"/>
    </row>
    <row r="534">
      <c r="B534" s="70"/>
      <c r="C534" s="70"/>
      <c r="D534" s="70"/>
      <c r="E534" s="70"/>
    </row>
    <row r="535">
      <c r="B535" s="70"/>
      <c r="C535" s="70"/>
      <c r="D535" s="70"/>
      <c r="E535" s="70"/>
    </row>
    <row r="536">
      <c r="B536" s="70"/>
      <c r="C536" s="70"/>
      <c r="D536" s="70"/>
      <c r="E536" s="70"/>
    </row>
    <row r="537">
      <c r="B537" s="70"/>
      <c r="C537" s="70"/>
      <c r="D537" s="70"/>
      <c r="E537" s="70"/>
    </row>
    <row r="538">
      <c r="B538" s="70"/>
      <c r="C538" s="70"/>
      <c r="D538" s="70"/>
      <c r="E538" s="70"/>
    </row>
    <row r="539">
      <c r="B539" s="70"/>
      <c r="C539" s="70"/>
      <c r="D539" s="70"/>
      <c r="E539" s="70"/>
    </row>
    <row r="540">
      <c r="B540" s="70"/>
      <c r="C540" s="70"/>
      <c r="D540" s="70"/>
      <c r="E540" s="70"/>
    </row>
    <row r="541">
      <c r="B541" s="70"/>
      <c r="C541" s="70"/>
      <c r="D541" s="70"/>
      <c r="E541" s="70"/>
    </row>
    <row r="542">
      <c r="B542" s="70"/>
      <c r="C542" s="70"/>
      <c r="D542" s="70"/>
      <c r="E542" s="70"/>
    </row>
    <row r="543">
      <c r="B543" s="70"/>
      <c r="C543" s="70"/>
      <c r="D543" s="70"/>
      <c r="E543" s="70"/>
    </row>
    <row r="544">
      <c r="B544" s="70"/>
      <c r="C544" s="70"/>
      <c r="D544" s="70"/>
      <c r="E544" s="70"/>
    </row>
    <row r="545">
      <c r="B545" s="70"/>
      <c r="C545" s="70"/>
      <c r="D545" s="70"/>
      <c r="E545" s="70"/>
    </row>
    <row r="546">
      <c r="B546" s="70"/>
      <c r="C546" s="70"/>
      <c r="D546" s="70"/>
      <c r="E546" s="70"/>
    </row>
    <row r="547">
      <c r="B547" s="70"/>
      <c r="C547" s="70"/>
      <c r="D547" s="70"/>
      <c r="E547" s="70"/>
    </row>
    <row r="548">
      <c r="B548" s="70"/>
      <c r="C548" s="70"/>
      <c r="D548" s="70"/>
      <c r="E548" s="70"/>
    </row>
    <row r="549">
      <c r="B549" s="70"/>
      <c r="C549" s="70"/>
      <c r="D549" s="70"/>
      <c r="E549" s="70"/>
    </row>
    <row r="550">
      <c r="B550" s="70"/>
      <c r="C550" s="70"/>
      <c r="D550" s="70"/>
      <c r="E550" s="70"/>
    </row>
    <row r="551">
      <c r="B551" s="70"/>
      <c r="C551" s="70"/>
      <c r="D551" s="70"/>
      <c r="E551" s="70"/>
    </row>
    <row r="552">
      <c r="B552" s="70"/>
      <c r="C552" s="70"/>
      <c r="D552" s="70"/>
      <c r="E552" s="70"/>
    </row>
    <row r="553">
      <c r="B553" s="70"/>
      <c r="C553" s="70"/>
      <c r="D553" s="70"/>
      <c r="E553" s="70"/>
    </row>
    <row r="554">
      <c r="B554" s="70"/>
      <c r="C554" s="70"/>
      <c r="D554" s="70"/>
      <c r="E554" s="70"/>
    </row>
    <row r="555">
      <c r="B555" s="70"/>
      <c r="C555" s="70"/>
      <c r="D555" s="70"/>
      <c r="E555" s="70"/>
    </row>
    <row r="556">
      <c r="B556" s="70"/>
      <c r="C556" s="70"/>
      <c r="D556" s="70"/>
      <c r="E556" s="70"/>
    </row>
    <row r="557">
      <c r="B557" s="70"/>
      <c r="C557" s="70"/>
      <c r="D557" s="70"/>
      <c r="E557" s="70"/>
    </row>
    <row r="558">
      <c r="B558" s="70"/>
      <c r="C558" s="70"/>
      <c r="D558" s="70"/>
      <c r="E558" s="70"/>
    </row>
    <row r="559">
      <c r="B559" s="70"/>
      <c r="C559" s="70"/>
      <c r="D559" s="70"/>
      <c r="E559" s="70"/>
    </row>
    <row r="560">
      <c r="B560" s="70"/>
      <c r="C560" s="70"/>
      <c r="D560" s="70"/>
      <c r="E560" s="70"/>
    </row>
    <row r="561">
      <c r="B561" s="70"/>
      <c r="C561" s="70"/>
      <c r="D561" s="70"/>
      <c r="E561" s="70"/>
    </row>
    <row r="562">
      <c r="B562" s="70"/>
      <c r="C562" s="70"/>
      <c r="D562" s="70"/>
      <c r="E562" s="70"/>
    </row>
    <row r="563">
      <c r="B563" s="70"/>
      <c r="C563" s="70"/>
      <c r="D563" s="70"/>
      <c r="E563" s="70"/>
    </row>
    <row r="564">
      <c r="B564" s="70"/>
      <c r="C564" s="70"/>
      <c r="D564" s="70"/>
      <c r="E564" s="70"/>
    </row>
    <row r="565">
      <c r="B565" s="70"/>
      <c r="C565" s="70"/>
      <c r="D565" s="70"/>
      <c r="E565" s="70"/>
    </row>
    <row r="566">
      <c r="B566" s="70"/>
      <c r="C566" s="70"/>
      <c r="D566" s="70"/>
      <c r="E566" s="70"/>
    </row>
    <row r="567">
      <c r="B567" s="70"/>
      <c r="C567" s="70"/>
      <c r="D567" s="70"/>
      <c r="E567" s="70"/>
    </row>
    <row r="568">
      <c r="B568" s="70"/>
      <c r="C568" s="70"/>
      <c r="D568" s="70"/>
      <c r="E568" s="70"/>
    </row>
    <row r="569">
      <c r="B569" s="70"/>
      <c r="C569" s="70"/>
      <c r="D569" s="70"/>
      <c r="E569" s="70"/>
    </row>
    <row r="570">
      <c r="B570" s="70"/>
      <c r="C570" s="70"/>
      <c r="D570" s="70"/>
      <c r="E570" s="70"/>
    </row>
    <row r="571">
      <c r="B571" s="70"/>
      <c r="C571" s="70"/>
      <c r="D571" s="70"/>
      <c r="E571" s="70"/>
    </row>
    <row r="572">
      <c r="B572" s="70"/>
      <c r="C572" s="70"/>
      <c r="D572" s="70"/>
      <c r="E572" s="70"/>
    </row>
    <row r="573">
      <c r="B573" s="70"/>
      <c r="C573" s="70"/>
      <c r="D573" s="70"/>
      <c r="E573" s="70"/>
    </row>
    <row r="574">
      <c r="B574" s="70"/>
      <c r="C574" s="70"/>
      <c r="D574" s="70"/>
      <c r="E574" s="70"/>
    </row>
    <row r="575">
      <c r="B575" s="70"/>
      <c r="C575" s="70"/>
      <c r="D575" s="70"/>
      <c r="E575" s="70"/>
    </row>
    <row r="576">
      <c r="B576" s="70"/>
      <c r="C576" s="70"/>
      <c r="D576" s="70"/>
      <c r="E576" s="70"/>
    </row>
    <row r="577">
      <c r="B577" s="70"/>
      <c r="C577" s="70"/>
      <c r="D577" s="70"/>
      <c r="E577" s="70"/>
    </row>
    <row r="578">
      <c r="B578" s="70"/>
      <c r="C578" s="70"/>
      <c r="D578" s="70"/>
      <c r="E578" s="70"/>
    </row>
    <row r="579">
      <c r="B579" s="70"/>
      <c r="C579" s="70"/>
      <c r="D579" s="70"/>
      <c r="E579" s="70"/>
    </row>
    <row r="580">
      <c r="B580" s="70"/>
      <c r="C580" s="70"/>
      <c r="D580" s="70"/>
      <c r="E580" s="70"/>
    </row>
    <row r="581">
      <c r="B581" s="70"/>
      <c r="C581" s="70"/>
      <c r="D581" s="70"/>
      <c r="E581" s="70"/>
    </row>
    <row r="582">
      <c r="B582" s="70"/>
      <c r="C582" s="70"/>
      <c r="D582" s="70"/>
      <c r="E582" s="70"/>
    </row>
    <row r="583">
      <c r="B583" s="70"/>
      <c r="C583" s="70"/>
      <c r="D583" s="70"/>
      <c r="E583" s="70"/>
    </row>
    <row r="584">
      <c r="B584" s="70"/>
      <c r="C584" s="70"/>
      <c r="D584" s="70"/>
      <c r="E584" s="70"/>
    </row>
    <row r="585">
      <c r="B585" s="70"/>
      <c r="C585" s="70"/>
      <c r="D585" s="70"/>
      <c r="E585" s="70"/>
    </row>
    <row r="586">
      <c r="B586" s="70"/>
      <c r="C586" s="70"/>
      <c r="D586" s="70"/>
      <c r="E586" s="70"/>
    </row>
    <row r="587">
      <c r="B587" s="70"/>
      <c r="C587" s="70"/>
      <c r="D587" s="70"/>
      <c r="E587" s="70"/>
    </row>
    <row r="588">
      <c r="B588" s="70"/>
      <c r="C588" s="70"/>
      <c r="D588" s="70"/>
      <c r="E588" s="70"/>
    </row>
    <row r="589">
      <c r="B589" s="70"/>
      <c r="C589" s="70"/>
      <c r="D589" s="70"/>
      <c r="E589" s="70"/>
    </row>
    <row r="590">
      <c r="B590" s="70"/>
      <c r="C590" s="70"/>
      <c r="D590" s="70"/>
      <c r="E590" s="70"/>
    </row>
    <row r="591">
      <c r="B591" s="70"/>
      <c r="C591" s="70"/>
      <c r="D591" s="70"/>
      <c r="E591" s="70"/>
    </row>
    <row r="592">
      <c r="B592" s="70"/>
      <c r="C592" s="70"/>
      <c r="D592" s="70"/>
      <c r="E592" s="70"/>
    </row>
    <row r="593">
      <c r="B593" s="70"/>
      <c r="C593" s="70"/>
      <c r="D593" s="70"/>
      <c r="E593" s="70"/>
    </row>
    <row r="594">
      <c r="B594" s="70"/>
      <c r="C594" s="70"/>
      <c r="D594" s="70"/>
      <c r="E594" s="70"/>
    </row>
    <row r="595">
      <c r="B595" s="70"/>
      <c r="C595" s="70"/>
      <c r="D595" s="70"/>
      <c r="E595" s="70"/>
    </row>
    <row r="596">
      <c r="B596" s="70"/>
      <c r="C596" s="70"/>
      <c r="D596" s="70"/>
      <c r="E596" s="70"/>
    </row>
    <row r="597">
      <c r="B597" s="70"/>
      <c r="C597" s="70"/>
      <c r="D597" s="70"/>
      <c r="E597" s="70"/>
    </row>
    <row r="598">
      <c r="B598" s="70"/>
      <c r="C598" s="70"/>
      <c r="D598" s="70"/>
      <c r="E598" s="70"/>
    </row>
    <row r="599">
      <c r="B599" s="70"/>
      <c r="C599" s="70"/>
      <c r="D599" s="70"/>
      <c r="E599" s="70"/>
    </row>
    <row r="600">
      <c r="B600" s="70"/>
      <c r="C600" s="70"/>
      <c r="D600" s="70"/>
      <c r="E600" s="70"/>
    </row>
    <row r="601">
      <c r="B601" s="70"/>
      <c r="C601" s="70"/>
      <c r="D601" s="70"/>
      <c r="E601" s="70"/>
    </row>
    <row r="602">
      <c r="B602" s="70"/>
      <c r="C602" s="70"/>
      <c r="D602" s="70"/>
      <c r="E602" s="70"/>
    </row>
    <row r="603">
      <c r="B603" s="70"/>
      <c r="C603" s="70"/>
      <c r="D603" s="70"/>
      <c r="E603" s="70"/>
    </row>
    <row r="604">
      <c r="B604" s="70"/>
      <c r="C604" s="70"/>
      <c r="D604" s="70"/>
      <c r="E604" s="70"/>
    </row>
    <row r="605">
      <c r="B605" s="70"/>
      <c r="C605" s="70"/>
      <c r="D605" s="70"/>
      <c r="E605" s="70"/>
    </row>
    <row r="606">
      <c r="B606" s="70"/>
      <c r="C606" s="70"/>
      <c r="D606" s="70"/>
      <c r="E606" s="70"/>
    </row>
    <row r="607">
      <c r="B607" s="70"/>
      <c r="C607" s="70"/>
      <c r="D607" s="70"/>
      <c r="E607" s="70"/>
    </row>
    <row r="608">
      <c r="B608" s="70"/>
      <c r="C608" s="70"/>
      <c r="D608" s="70"/>
      <c r="E608" s="70"/>
    </row>
    <row r="609">
      <c r="B609" s="70"/>
      <c r="C609" s="70"/>
      <c r="D609" s="70"/>
      <c r="E609" s="70"/>
    </row>
    <row r="610">
      <c r="B610" s="70"/>
      <c r="C610" s="70"/>
      <c r="D610" s="70"/>
      <c r="E610" s="70"/>
    </row>
    <row r="611">
      <c r="B611" s="70"/>
      <c r="C611" s="70"/>
      <c r="D611" s="70"/>
      <c r="E611" s="70"/>
    </row>
    <row r="612">
      <c r="B612" s="70"/>
      <c r="C612" s="70"/>
      <c r="D612" s="70"/>
      <c r="E612" s="70"/>
    </row>
    <row r="613">
      <c r="B613" s="70"/>
      <c r="C613" s="70"/>
      <c r="D613" s="70"/>
      <c r="E613" s="70"/>
    </row>
    <row r="614">
      <c r="B614" s="70"/>
      <c r="C614" s="70"/>
      <c r="D614" s="70"/>
      <c r="E614" s="70"/>
    </row>
    <row r="615">
      <c r="B615" s="70"/>
      <c r="C615" s="70"/>
      <c r="D615" s="70"/>
      <c r="E615" s="70"/>
    </row>
    <row r="616">
      <c r="B616" s="70"/>
      <c r="C616" s="70"/>
      <c r="D616" s="70"/>
      <c r="E616" s="70"/>
    </row>
    <row r="617">
      <c r="B617" s="70"/>
      <c r="C617" s="70"/>
      <c r="D617" s="70"/>
      <c r="E617" s="70"/>
    </row>
    <row r="618">
      <c r="B618" s="70"/>
      <c r="C618" s="70"/>
      <c r="D618" s="70"/>
      <c r="E618" s="70"/>
    </row>
    <row r="619">
      <c r="B619" s="70"/>
      <c r="C619" s="70"/>
      <c r="D619" s="70"/>
      <c r="E619" s="70"/>
    </row>
    <row r="620">
      <c r="B620" s="70"/>
      <c r="C620" s="70"/>
      <c r="D620" s="70"/>
      <c r="E620" s="70"/>
    </row>
    <row r="621">
      <c r="B621" s="70"/>
      <c r="C621" s="70"/>
      <c r="D621" s="70"/>
      <c r="E621" s="70"/>
    </row>
    <row r="622">
      <c r="B622" s="70"/>
      <c r="C622" s="70"/>
      <c r="D622" s="70"/>
      <c r="E622" s="70"/>
    </row>
    <row r="623">
      <c r="B623" s="70"/>
      <c r="C623" s="70"/>
      <c r="D623" s="70"/>
      <c r="E623" s="70"/>
    </row>
    <row r="624">
      <c r="B624" s="70"/>
      <c r="C624" s="70"/>
      <c r="D624" s="70"/>
      <c r="E624" s="70"/>
    </row>
    <row r="625">
      <c r="B625" s="70"/>
      <c r="C625" s="70"/>
      <c r="D625" s="70"/>
      <c r="E625" s="70"/>
    </row>
    <row r="626">
      <c r="B626" s="70"/>
      <c r="C626" s="70"/>
      <c r="D626" s="70"/>
      <c r="E626" s="70"/>
    </row>
    <row r="627">
      <c r="B627" s="70"/>
      <c r="C627" s="70"/>
      <c r="D627" s="70"/>
      <c r="E627" s="70"/>
    </row>
    <row r="628">
      <c r="B628" s="70"/>
      <c r="C628" s="70"/>
      <c r="D628" s="70"/>
      <c r="E628" s="70"/>
    </row>
    <row r="629">
      <c r="B629" s="70"/>
      <c r="C629" s="70"/>
      <c r="D629" s="70"/>
      <c r="E629" s="70"/>
    </row>
    <row r="630">
      <c r="B630" s="70"/>
      <c r="C630" s="70"/>
      <c r="D630" s="70"/>
      <c r="E630" s="70"/>
    </row>
    <row r="631">
      <c r="B631" s="70"/>
      <c r="C631" s="70"/>
      <c r="D631" s="70"/>
      <c r="E631" s="70"/>
    </row>
    <row r="632">
      <c r="B632" s="70"/>
      <c r="C632" s="70"/>
      <c r="D632" s="70"/>
      <c r="E632" s="70"/>
    </row>
    <row r="633">
      <c r="B633" s="70"/>
      <c r="C633" s="70"/>
      <c r="D633" s="70"/>
      <c r="E633" s="70"/>
    </row>
    <row r="634">
      <c r="B634" s="70"/>
      <c r="C634" s="70"/>
      <c r="D634" s="70"/>
      <c r="E634" s="70"/>
    </row>
    <row r="635">
      <c r="B635" s="70"/>
      <c r="C635" s="70"/>
      <c r="D635" s="70"/>
      <c r="E635" s="70"/>
    </row>
    <row r="636">
      <c r="B636" s="70"/>
      <c r="C636" s="70"/>
      <c r="D636" s="70"/>
      <c r="E636" s="70"/>
    </row>
    <row r="637">
      <c r="B637" s="70"/>
      <c r="C637" s="70"/>
      <c r="D637" s="70"/>
      <c r="E637" s="70"/>
    </row>
    <row r="638">
      <c r="B638" s="70"/>
      <c r="C638" s="70"/>
      <c r="D638" s="70"/>
      <c r="E638" s="70"/>
    </row>
    <row r="639">
      <c r="B639" s="70"/>
      <c r="C639" s="70"/>
      <c r="D639" s="70"/>
      <c r="E639" s="70"/>
    </row>
    <row r="640">
      <c r="B640" s="70"/>
      <c r="C640" s="70"/>
      <c r="D640" s="70"/>
      <c r="E640" s="70"/>
    </row>
    <row r="641">
      <c r="B641" s="70"/>
      <c r="C641" s="70"/>
      <c r="D641" s="70"/>
      <c r="E641" s="70"/>
    </row>
    <row r="642">
      <c r="B642" s="70"/>
      <c r="C642" s="70"/>
      <c r="D642" s="70"/>
      <c r="E642" s="70"/>
    </row>
    <row r="643">
      <c r="B643" s="70"/>
      <c r="C643" s="70"/>
      <c r="D643" s="70"/>
      <c r="E643" s="70"/>
    </row>
    <row r="644">
      <c r="B644" s="70"/>
      <c r="C644" s="70"/>
      <c r="D644" s="70"/>
      <c r="E644" s="70"/>
    </row>
    <row r="645">
      <c r="B645" s="70"/>
      <c r="C645" s="70"/>
      <c r="D645" s="70"/>
      <c r="E645" s="70"/>
    </row>
    <row r="646">
      <c r="B646" s="70"/>
      <c r="C646" s="70"/>
      <c r="D646" s="70"/>
      <c r="E646" s="70"/>
    </row>
    <row r="647">
      <c r="B647" s="70"/>
      <c r="C647" s="70"/>
      <c r="D647" s="70"/>
      <c r="E647" s="70"/>
    </row>
    <row r="648">
      <c r="B648" s="70"/>
      <c r="C648" s="70"/>
      <c r="D648" s="70"/>
      <c r="E648" s="70"/>
    </row>
    <row r="649">
      <c r="B649" s="70"/>
      <c r="C649" s="70"/>
      <c r="D649" s="70"/>
      <c r="E649" s="70"/>
    </row>
    <row r="650">
      <c r="B650" s="70"/>
      <c r="C650" s="70"/>
      <c r="D650" s="70"/>
      <c r="E650" s="70"/>
    </row>
    <row r="651">
      <c r="B651" s="70"/>
      <c r="C651" s="70"/>
      <c r="D651" s="70"/>
      <c r="E651" s="70"/>
    </row>
    <row r="652">
      <c r="B652" s="70"/>
      <c r="C652" s="70"/>
      <c r="D652" s="70"/>
      <c r="E652" s="70"/>
    </row>
    <row r="653">
      <c r="B653" s="70"/>
      <c r="C653" s="70"/>
      <c r="D653" s="70"/>
      <c r="E653" s="70"/>
    </row>
    <row r="654">
      <c r="B654" s="70"/>
      <c r="C654" s="70"/>
      <c r="D654" s="70"/>
      <c r="E654" s="70"/>
    </row>
    <row r="655">
      <c r="B655" s="70"/>
      <c r="C655" s="70"/>
      <c r="D655" s="70"/>
      <c r="E655" s="70"/>
    </row>
    <row r="656">
      <c r="B656" s="70"/>
      <c r="C656" s="70"/>
      <c r="D656" s="70"/>
      <c r="E656" s="70"/>
    </row>
    <row r="657">
      <c r="B657" s="70"/>
      <c r="C657" s="70"/>
      <c r="D657" s="70"/>
      <c r="E657" s="70"/>
    </row>
    <row r="658">
      <c r="B658" s="70"/>
      <c r="C658" s="70"/>
      <c r="D658" s="70"/>
      <c r="E658" s="70"/>
    </row>
    <row r="659">
      <c r="B659" s="70"/>
      <c r="C659" s="70"/>
      <c r="D659" s="70"/>
      <c r="E659" s="70"/>
    </row>
    <row r="660">
      <c r="B660" s="70"/>
      <c r="C660" s="70"/>
      <c r="D660" s="70"/>
      <c r="E660" s="70"/>
    </row>
    <row r="661">
      <c r="B661" s="70"/>
      <c r="C661" s="70"/>
      <c r="D661" s="70"/>
      <c r="E661" s="70"/>
    </row>
    <row r="662">
      <c r="B662" s="70"/>
      <c r="C662" s="70"/>
      <c r="D662" s="70"/>
      <c r="E662" s="70"/>
    </row>
    <row r="663">
      <c r="B663" s="70"/>
      <c r="C663" s="70"/>
      <c r="D663" s="70"/>
      <c r="E663" s="70"/>
    </row>
    <row r="664">
      <c r="B664" s="70"/>
      <c r="C664" s="70"/>
      <c r="D664" s="70"/>
      <c r="E664" s="70"/>
    </row>
    <row r="665">
      <c r="B665" s="70"/>
      <c r="C665" s="70"/>
      <c r="D665" s="70"/>
      <c r="E665" s="70"/>
    </row>
    <row r="666">
      <c r="B666" s="70"/>
      <c r="C666" s="70"/>
      <c r="D666" s="70"/>
      <c r="E666" s="70"/>
    </row>
    <row r="667">
      <c r="B667" s="70"/>
      <c r="C667" s="70"/>
      <c r="D667" s="70"/>
      <c r="E667" s="70"/>
    </row>
    <row r="668">
      <c r="B668" s="70"/>
      <c r="C668" s="70"/>
      <c r="D668" s="70"/>
      <c r="E668" s="70"/>
    </row>
    <row r="669">
      <c r="B669" s="70"/>
      <c r="C669" s="70"/>
      <c r="D669" s="70"/>
      <c r="E669" s="70"/>
    </row>
    <row r="670">
      <c r="B670" s="70"/>
      <c r="C670" s="70"/>
      <c r="D670" s="70"/>
      <c r="E670" s="70"/>
    </row>
    <row r="671">
      <c r="B671" s="70"/>
      <c r="C671" s="70"/>
      <c r="D671" s="70"/>
      <c r="E671" s="70"/>
    </row>
    <row r="672">
      <c r="B672" s="70"/>
      <c r="C672" s="70"/>
      <c r="D672" s="70"/>
      <c r="E672" s="70"/>
    </row>
    <row r="673">
      <c r="B673" s="70"/>
      <c r="C673" s="70"/>
      <c r="D673" s="70"/>
      <c r="E673" s="70"/>
    </row>
    <row r="674">
      <c r="B674" s="70"/>
      <c r="C674" s="70"/>
      <c r="D674" s="70"/>
      <c r="E674" s="70"/>
    </row>
    <row r="675">
      <c r="B675" s="70"/>
      <c r="C675" s="70"/>
      <c r="D675" s="70"/>
      <c r="E675" s="70"/>
    </row>
    <row r="676">
      <c r="B676" s="70"/>
      <c r="C676" s="70"/>
      <c r="D676" s="70"/>
      <c r="E676" s="70"/>
    </row>
    <row r="677">
      <c r="B677" s="70"/>
      <c r="C677" s="70"/>
      <c r="D677" s="70"/>
      <c r="E677" s="70"/>
    </row>
    <row r="678">
      <c r="B678" s="70"/>
      <c r="C678" s="70"/>
      <c r="D678" s="70"/>
      <c r="E678" s="70"/>
    </row>
    <row r="679">
      <c r="B679" s="70"/>
      <c r="C679" s="70"/>
      <c r="D679" s="70"/>
      <c r="E679" s="70"/>
    </row>
    <row r="680">
      <c r="B680" s="70"/>
      <c r="C680" s="70"/>
      <c r="D680" s="70"/>
      <c r="E680" s="70"/>
    </row>
    <row r="681">
      <c r="B681" s="70"/>
      <c r="C681" s="70"/>
      <c r="D681" s="70"/>
      <c r="E681" s="70"/>
    </row>
    <row r="682">
      <c r="B682" s="70"/>
      <c r="C682" s="70"/>
      <c r="D682" s="70"/>
      <c r="E682" s="70"/>
    </row>
    <row r="683">
      <c r="B683" s="70"/>
      <c r="C683" s="70"/>
      <c r="D683" s="70"/>
      <c r="E683" s="70"/>
    </row>
    <row r="684">
      <c r="B684" s="70"/>
      <c r="C684" s="70"/>
      <c r="D684" s="70"/>
      <c r="E684" s="70"/>
    </row>
    <row r="685">
      <c r="B685" s="70"/>
      <c r="C685" s="70"/>
      <c r="D685" s="70"/>
      <c r="E685" s="70"/>
    </row>
    <row r="686">
      <c r="B686" s="70"/>
      <c r="C686" s="70"/>
      <c r="D686" s="70"/>
      <c r="E686" s="70"/>
    </row>
    <row r="687">
      <c r="B687" s="70"/>
      <c r="C687" s="70"/>
      <c r="D687" s="70"/>
      <c r="E687" s="70"/>
    </row>
    <row r="688">
      <c r="B688" s="70"/>
      <c r="C688" s="70"/>
      <c r="D688" s="70"/>
      <c r="E688" s="70"/>
    </row>
    <row r="689">
      <c r="B689" s="70"/>
      <c r="C689" s="70"/>
      <c r="D689" s="70"/>
      <c r="E689" s="70"/>
    </row>
    <row r="690">
      <c r="B690" s="70"/>
      <c r="C690" s="70"/>
      <c r="D690" s="70"/>
      <c r="E690" s="70"/>
    </row>
    <row r="691">
      <c r="B691" s="70"/>
      <c r="C691" s="70"/>
      <c r="D691" s="70"/>
      <c r="E691" s="70"/>
    </row>
    <row r="692">
      <c r="B692" s="70"/>
      <c r="C692" s="70"/>
      <c r="D692" s="70"/>
      <c r="E692" s="70"/>
    </row>
    <row r="693">
      <c r="B693" s="70"/>
      <c r="C693" s="70"/>
      <c r="D693" s="70"/>
      <c r="E693" s="70"/>
    </row>
    <row r="694">
      <c r="B694" s="70"/>
      <c r="C694" s="70"/>
      <c r="D694" s="70"/>
      <c r="E694" s="70"/>
    </row>
    <row r="695">
      <c r="B695" s="70"/>
      <c r="C695" s="70"/>
      <c r="D695" s="70"/>
      <c r="E695" s="70"/>
    </row>
    <row r="696">
      <c r="B696" s="70"/>
      <c r="C696" s="70"/>
      <c r="D696" s="70"/>
      <c r="E696" s="70"/>
    </row>
    <row r="697">
      <c r="B697" s="70"/>
      <c r="C697" s="70"/>
      <c r="D697" s="70"/>
      <c r="E697" s="70"/>
    </row>
    <row r="698">
      <c r="B698" s="70"/>
      <c r="C698" s="70"/>
      <c r="D698" s="70"/>
      <c r="E698" s="70"/>
    </row>
    <row r="699">
      <c r="B699" s="70"/>
      <c r="C699" s="70"/>
      <c r="D699" s="70"/>
      <c r="E699" s="70"/>
    </row>
    <row r="700">
      <c r="B700" s="70"/>
      <c r="C700" s="70"/>
      <c r="D700" s="70"/>
      <c r="E700" s="70"/>
    </row>
    <row r="701">
      <c r="B701" s="70"/>
      <c r="C701" s="70"/>
      <c r="D701" s="70"/>
      <c r="E701" s="70"/>
    </row>
    <row r="702">
      <c r="B702" s="70"/>
      <c r="C702" s="70"/>
      <c r="D702" s="70"/>
      <c r="E702" s="70"/>
    </row>
    <row r="703">
      <c r="B703" s="70"/>
      <c r="C703" s="70"/>
      <c r="D703" s="70"/>
      <c r="E703" s="70"/>
    </row>
    <row r="704">
      <c r="B704" s="70"/>
      <c r="C704" s="70"/>
      <c r="D704" s="70"/>
      <c r="E704" s="70"/>
    </row>
    <row r="705">
      <c r="B705" s="70"/>
      <c r="C705" s="70"/>
      <c r="D705" s="70"/>
      <c r="E705" s="70"/>
    </row>
    <row r="706">
      <c r="B706" s="70"/>
      <c r="C706" s="70"/>
      <c r="D706" s="70"/>
      <c r="E706" s="70"/>
    </row>
    <row r="707">
      <c r="B707" s="70"/>
      <c r="C707" s="70"/>
      <c r="D707" s="70"/>
      <c r="E707" s="70"/>
    </row>
    <row r="708">
      <c r="B708" s="70"/>
      <c r="C708" s="70"/>
      <c r="D708" s="70"/>
      <c r="E708" s="70"/>
    </row>
    <row r="709">
      <c r="B709" s="70"/>
      <c r="C709" s="70"/>
      <c r="D709" s="70"/>
      <c r="E709" s="70"/>
    </row>
    <row r="710">
      <c r="B710" s="70"/>
      <c r="C710" s="70"/>
      <c r="D710" s="70"/>
      <c r="E710" s="70"/>
    </row>
    <row r="711">
      <c r="B711" s="70"/>
      <c r="C711" s="70"/>
      <c r="D711" s="70"/>
      <c r="E711" s="70"/>
    </row>
    <row r="712">
      <c r="B712" s="70"/>
      <c r="C712" s="70"/>
      <c r="D712" s="70"/>
      <c r="E712" s="70"/>
    </row>
    <row r="713">
      <c r="B713" s="70"/>
      <c r="C713" s="70"/>
      <c r="D713" s="70"/>
      <c r="E713" s="70"/>
    </row>
    <row r="714">
      <c r="B714" s="70"/>
      <c r="C714" s="70"/>
      <c r="D714" s="70"/>
      <c r="E714" s="70"/>
    </row>
    <row r="715">
      <c r="B715" s="70"/>
      <c r="C715" s="70"/>
      <c r="D715" s="70"/>
      <c r="E715" s="70"/>
    </row>
    <row r="716">
      <c r="B716" s="70"/>
      <c r="C716" s="70"/>
      <c r="D716" s="70"/>
      <c r="E716" s="70"/>
    </row>
    <row r="717">
      <c r="B717" s="70"/>
      <c r="C717" s="70"/>
      <c r="D717" s="70"/>
      <c r="E717" s="70"/>
    </row>
    <row r="718">
      <c r="B718" s="70"/>
      <c r="C718" s="70"/>
      <c r="D718" s="70"/>
      <c r="E718" s="70"/>
    </row>
    <row r="719">
      <c r="B719" s="70"/>
      <c r="C719" s="70"/>
      <c r="D719" s="70"/>
      <c r="E719" s="70"/>
    </row>
    <row r="720">
      <c r="B720" s="70"/>
      <c r="C720" s="70"/>
      <c r="D720" s="70"/>
      <c r="E720" s="70"/>
    </row>
    <row r="721">
      <c r="B721" s="70"/>
      <c r="C721" s="70"/>
      <c r="D721" s="70"/>
      <c r="E721" s="70"/>
    </row>
    <row r="722">
      <c r="B722" s="70"/>
      <c r="C722" s="70"/>
      <c r="D722" s="70"/>
      <c r="E722" s="70"/>
    </row>
    <row r="723">
      <c r="B723" s="70"/>
      <c r="C723" s="70"/>
      <c r="D723" s="70"/>
      <c r="E723" s="70"/>
    </row>
    <row r="724">
      <c r="B724" s="70"/>
      <c r="C724" s="70"/>
      <c r="D724" s="70"/>
      <c r="E724" s="70"/>
    </row>
    <row r="725">
      <c r="B725" s="70"/>
      <c r="C725" s="70"/>
      <c r="D725" s="70"/>
      <c r="E725" s="70"/>
    </row>
    <row r="726">
      <c r="B726" s="70"/>
      <c r="C726" s="70"/>
      <c r="D726" s="70"/>
      <c r="E726" s="70"/>
    </row>
    <row r="727">
      <c r="B727" s="70"/>
      <c r="C727" s="70"/>
      <c r="D727" s="70"/>
      <c r="E727" s="70"/>
    </row>
    <row r="728">
      <c r="B728" s="70"/>
      <c r="C728" s="70"/>
      <c r="D728" s="70"/>
      <c r="E728" s="70"/>
    </row>
    <row r="729">
      <c r="B729" s="70"/>
      <c r="C729" s="70"/>
      <c r="D729" s="70"/>
      <c r="E729" s="70"/>
    </row>
    <row r="730">
      <c r="B730" s="70"/>
      <c r="C730" s="70"/>
      <c r="D730" s="70"/>
      <c r="E730" s="70"/>
    </row>
    <row r="731">
      <c r="B731" s="70"/>
      <c r="C731" s="70"/>
      <c r="D731" s="70"/>
      <c r="E731" s="70"/>
    </row>
    <row r="732">
      <c r="B732" s="70"/>
      <c r="C732" s="70"/>
      <c r="D732" s="70"/>
      <c r="E732" s="70"/>
    </row>
    <row r="733">
      <c r="B733" s="70"/>
      <c r="C733" s="70"/>
      <c r="D733" s="70"/>
      <c r="E733" s="70"/>
    </row>
    <row r="734">
      <c r="B734" s="70"/>
      <c r="C734" s="70"/>
      <c r="D734" s="70"/>
      <c r="E734" s="70"/>
    </row>
    <row r="735">
      <c r="B735" s="70"/>
      <c r="C735" s="70"/>
      <c r="D735" s="70"/>
      <c r="E735" s="70"/>
    </row>
    <row r="736">
      <c r="B736" s="70"/>
      <c r="C736" s="70"/>
      <c r="D736" s="70"/>
      <c r="E736" s="70"/>
    </row>
    <row r="737">
      <c r="B737" s="70"/>
      <c r="C737" s="70"/>
      <c r="D737" s="70"/>
      <c r="E737" s="70"/>
    </row>
    <row r="738">
      <c r="B738" s="70"/>
      <c r="C738" s="70"/>
      <c r="D738" s="70"/>
      <c r="E738" s="70"/>
    </row>
    <row r="739">
      <c r="B739" s="70"/>
      <c r="C739" s="70"/>
      <c r="D739" s="70"/>
      <c r="E739" s="70"/>
    </row>
    <row r="740">
      <c r="B740" s="70"/>
      <c r="C740" s="70"/>
      <c r="D740" s="70"/>
      <c r="E740" s="70"/>
    </row>
    <row r="741">
      <c r="B741" s="70"/>
      <c r="C741" s="70"/>
      <c r="D741" s="70"/>
      <c r="E741" s="70"/>
    </row>
    <row r="742">
      <c r="B742" s="70"/>
      <c r="C742" s="70"/>
      <c r="D742" s="70"/>
      <c r="E742" s="70"/>
    </row>
    <row r="743">
      <c r="B743" s="70"/>
      <c r="C743" s="70"/>
      <c r="D743" s="70"/>
      <c r="E743" s="70"/>
    </row>
    <row r="744">
      <c r="B744" s="70"/>
      <c r="C744" s="70"/>
      <c r="D744" s="70"/>
      <c r="E744" s="70"/>
    </row>
    <row r="745">
      <c r="B745" s="70"/>
      <c r="C745" s="70"/>
      <c r="D745" s="70"/>
      <c r="E745" s="70"/>
    </row>
    <row r="746">
      <c r="B746" s="70"/>
      <c r="C746" s="70"/>
      <c r="D746" s="70"/>
      <c r="E746" s="70"/>
    </row>
    <row r="747">
      <c r="B747" s="70"/>
      <c r="C747" s="70"/>
      <c r="D747" s="70"/>
      <c r="E747" s="70"/>
    </row>
    <row r="748">
      <c r="B748" s="70"/>
      <c r="C748" s="70"/>
      <c r="D748" s="70"/>
      <c r="E748" s="70"/>
    </row>
    <row r="749">
      <c r="B749" s="70"/>
      <c r="C749" s="70"/>
      <c r="D749" s="70"/>
      <c r="E749" s="70"/>
    </row>
    <row r="750">
      <c r="B750" s="70"/>
      <c r="C750" s="70"/>
      <c r="D750" s="70"/>
      <c r="E750" s="70"/>
    </row>
    <row r="751">
      <c r="B751" s="70"/>
      <c r="C751" s="70"/>
      <c r="D751" s="70"/>
      <c r="E751" s="70"/>
    </row>
    <row r="752">
      <c r="B752" s="70"/>
      <c r="C752" s="70"/>
      <c r="D752" s="70"/>
      <c r="E752" s="70"/>
    </row>
    <row r="753">
      <c r="B753" s="70"/>
      <c r="C753" s="70"/>
      <c r="D753" s="70"/>
      <c r="E753" s="70"/>
    </row>
    <row r="754">
      <c r="B754" s="70"/>
      <c r="C754" s="70"/>
      <c r="D754" s="70"/>
      <c r="E754" s="70"/>
    </row>
    <row r="755">
      <c r="B755" s="70"/>
      <c r="C755" s="70"/>
      <c r="D755" s="70"/>
      <c r="E755" s="70"/>
    </row>
    <row r="756">
      <c r="B756" s="70"/>
      <c r="C756" s="70"/>
      <c r="D756" s="70"/>
      <c r="E756" s="70"/>
    </row>
    <row r="757">
      <c r="B757" s="70"/>
      <c r="C757" s="70"/>
      <c r="D757" s="70"/>
      <c r="E757" s="70"/>
    </row>
    <row r="758">
      <c r="B758" s="70"/>
      <c r="C758" s="70"/>
      <c r="D758" s="70"/>
      <c r="E758" s="70"/>
    </row>
    <row r="759">
      <c r="B759" s="70"/>
      <c r="C759" s="70"/>
      <c r="D759" s="70"/>
      <c r="E759" s="70"/>
    </row>
    <row r="760">
      <c r="B760" s="70"/>
      <c r="C760" s="70"/>
      <c r="D760" s="70"/>
      <c r="E760" s="70"/>
    </row>
    <row r="761">
      <c r="B761" s="70"/>
      <c r="C761" s="70"/>
      <c r="D761" s="70"/>
      <c r="E761" s="70"/>
    </row>
    <row r="762">
      <c r="B762" s="70"/>
      <c r="C762" s="70"/>
      <c r="D762" s="70"/>
      <c r="E762" s="70"/>
    </row>
    <row r="763">
      <c r="B763" s="70"/>
      <c r="C763" s="70"/>
      <c r="D763" s="70"/>
      <c r="E763" s="70"/>
    </row>
    <row r="764">
      <c r="B764" s="70"/>
      <c r="C764" s="70"/>
      <c r="D764" s="70"/>
      <c r="E764" s="70"/>
    </row>
    <row r="765">
      <c r="B765" s="70"/>
      <c r="C765" s="70"/>
      <c r="D765" s="70"/>
      <c r="E765" s="70"/>
    </row>
    <row r="766">
      <c r="B766" s="70"/>
      <c r="C766" s="70"/>
      <c r="D766" s="70"/>
      <c r="E766" s="70"/>
    </row>
    <row r="767">
      <c r="B767" s="70"/>
      <c r="C767" s="70"/>
      <c r="D767" s="70"/>
      <c r="E767" s="70"/>
    </row>
    <row r="768">
      <c r="B768" s="70"/>
      <c r="C768" s="70"/>
      <c r="D768" s="70"/>
      <c r="E768" s="70"/>
    </row>
    <row r="769">
      <c r="B769" s="70"/>
      <c r="C769" s="70"/>
      <c r="D769" s="70"/>
      <c r="E769" s="70"/>
    </row>
    <row r="770">
      <c r="B770" s="70"/>
      <c r="C770" s="70"/>
      <c r="D770" s="70"/>
      <c r="E770" s="70"/>
    </row>
    <row r="771">
      <c r="B771" s="70"/>
      <c r="C771" s="70"/>
      <c r="D771" s="70"/>
      <c r="E771" s="70"/>
    </row>
    <row r="772">
      <c r="B772" s="70"/>
      <c r="C772" s="70"/>
      <c r="D772" s="70"/>
      <c r="E772" s="70"/>
    </row>
    <row r="773">
      <c r="B773" s="70"/>
      <c r="C773" s="70"/>
      <c r="D773" s="70"/>
      <c r="E773" s="70"/>
    </row>
    <row r="774">
      <c r="B774" s="70"/>
      <c r="C774" s="70"/>
      <c r="D774" s="70"/>
      <c r="E774" s="70"/>
    </row>
    <row r="775">
      <c r="B775" s="70"/>
      <c r="C775" s="70"/>
      <c r="D775" s="70"/>
      <c r="E775" s="70"/>
    </row>
    <row r="776">
      <c r="B776" s="70"/>
      <c r="C776" s="70"/>
      <c r="D776" s="70"/>
      <c r="E776" s="70"/>
    </row>
    <row r="777">
      <c r="B777" s="70"/>
      <c r="C777" s="70"/>
      <c r="D777" s="70"/>
      <c r="E777" s="70"/>
    </row>
    <row r="778">
      <c r="B778" s="70"/>
      <c r="C778" s="70"/>
      <c r="D778" s="70"/>
      <c r="E778" s="70"/>
    </row>
    <row r="779">
      <c r="B779" s="70"/>
      <c r="C779" s="70"/>
      <c r="D779" s="70"/>
      <c r="E779" s="70"/>
    </row>
    <row r="780">
      <c r="B780" s="70"/>
      <c r="C780" s="70"/>
      <c r="D780" s="70"/>
      <c r="E780" s="70"/>
    </row>
    <row r="781">
      <c r="B781" s="70"/>
      <c r="C781" s="70"/>
      <c r="D781" s="70"/>
      <c r="E781" s="70"/>
    </row>
    <row r="782">
      <c r="B782" s="70"/>
      <c r="C782" s="70"/>
      <c r="D782" s="70"/>
      <c r="E782" s="70"/>
    </row>
    <row r="783">
      <c r="B783" s="70"/>
      <c r="C783" s="70"/>
      <c r="D783" s="70"/>
      <c r="E783" s="70"/>
    </row>
    <row r="784">
      <c r="B784" s="70"/>
      <c r="C784" s="70"/>
      <c r="D784" s="70"/>
      <c r="E784" s="70"/>
    </row>
    <row r="785">
      <c r="B785" s="70"/>
      <c r="C785" s="70"/>
      <c r="D785" s="70"/>
      <c r="E785" s="70"/>
    </row>
    <row r="786">
      <c r="B786" s="70"/>
      <c r="C786" s="70"/>
      <c r="D786" s="70"/>
      <c r="E786" s="70"/>
    </row>
    <row r="787">
      <c r="B787" s="70"/>
      <c r="C787" s="70"/>
      <c r="D787" s="70"/>
      <c r="E787" s="70"/>
    </row>
    <row r="788">
      <c r="B788" s="70"/>
      <c r="C788" s="70"/>
      <c r="D788" s="70"/>
      <c r="E788" s="70"/>
    </row>
    <row r="789">
      <c r="B789" s="70"/>
      <c r="C789" s="70"/>
      <c r="D789" s="70"/>
      <c r="E789" s="70"/>
    </row>
    <row r="790">
      <c r="B790" s="70"/>
      <c r="C790" s="70"/>
      <c r="D790" s="70"/>
      <c r="E790" s="70"/>
    </row>
    <row r="791">
      <c r="B791" s="70"/>
      <c r="C791" s="70"/>
      <c r="D791" s="70"/>
      <c r="E791" s="70"/>
    </row>
    <row r="792">
      <c r="B792" s="70"/>
      <c r="C792" s="70"/>
      <c r="D792" s="70"/>
      <c r="E792" s="70"/>
    </row>
    <row r="793">
      <c r="B793" s="70"/>
      <c r="C793" s="70"/>
      <c r="D793" s="70"/>
      <c r="E793" s="70"/>
    </row>
    <row r="794">
      <c r="B794" s="70"/>
      <c r="C794" s="70"/>
      <c r="D794" s="70"/>
      <c r="E794" s="70"/>
    </row>
    <row r="795">
      <c r="B795" s="70"/>
      <c r="C795" s="70"/>
      <c r="D795" s="70"/>
      <c r="E795" s="70"/>
    </row>
    <row r="796">
      <c r="B796" s="70"/>
      <c r="C796" s="70"/>
      <c r="D796" s="70"/>
      <c r="E796" s="70"/>
    </row>
    <row r="797">
      <c r="B797" s="70"/>
      <c r="C797" s="70"/>
      <c r="D797" s="70"/>
      <c r="E797" s="70"/>
    </row>
    <row r="798">
      <c r="B798" s="70"/>
      <c r="C798" s="70"/>
      <c r="D798" s="70"/>
      <c r="E798" s="70"/>
    </row>
    <row r="799">
      <c r="B799" s="70"/>
      <c r="C799" s="70"/>
      <c r="D799" s="70"/>
      <c r="E799" s="70"/>
    </row>
    <row r="800">
      <c r="B800" s="70"/>
      <c r="C800" s="70"/>
      <c r="D800" s="70"/>
      <c r="E800" s="70"/>
    </row>
    <row r="801">
      <c r="B801" s="70"/>
      <c r="C801" s="70"/>
      <c r="D801" s="70"/>
      <c r="E801" s="70"/>
    </row>
    <row r="802">
      <c r="B802" s="70"/>
      <c r="C802" s="70"/>
      <c r="D802" s="70"/>
      <c r="E802" s="70"/>
    </row>
    <row r="803">
      <c r="B803" s="70"/>
      <c r="C803" s="70"/>
      <c r="D803" s="70"/>
      <c r="E803" s="70"/>
    </row>
    <row r="804">
      <c r="B804" s="70"/>
      <c r="C804" s="70"/>
      <c r="D804" s="70"/>
      <c r="E804" s="70"/>
    </row>
    <row r="805">
      <c r="B805" s="70"/>
      <c r="C805" s="70"/>
      <c r="D805" s="70"/>
      <c r="E805" s="70"/>
    </row>
    <row r="806">
      <c r="B806" s="70"/>
      <c r="C806" s="70"/>
      <c r="D806" s="70"/>
      <c r="E806" s="70"/>
    </row>
    <row r="807">
      <c r="B807" s="70"/>
      <c r="C807" s="70"/>
      <c r="D807" s="70"/>
      <c r="E807" s="70"/>
    </row>
    <row r="808">
      <c r="B808" s="70"/>
      <c r="C808" s="70"/>
      <c r="D808" s="70"/>
      <c r="E808" s="70"/>
    </row>
    <row r="809">
      <c r="B809" s="70"/>
      <c r="C809" s="70"/>
      <c r="D809" s="70"/>
      <c r="E809" s="70"/>
    </row>
    <row r="810">
      <c r="B810" s="70"/>
      <c r="C810" s="70"/>
      <c r="D810" s="70"/>
      <c r="E810" s="70"/>
    </row>
    <row r="811">
      <c r="B811" s="70"/>
      <c r="C811" s="70"/>
      <c r="D811" s="70"/>
      <c r="E811" s="70"/>
    </row>
    <row r="812">
      <c r="B812" s="70"/>
      <c r="C812" s="70"/>
      <c r="D812" s="70"/>
      <c r="E812" s="70"/>
    </row>
    <row r="813">
      <c r="B813" s="70"/>
      <c r="C813" s="70"/>
      <c r="D813" s="70"/>
      <c r="E813" s="70"/>
    </row>
    <row r="814">
      <c r="B814" s="70"/>
      <c r="C814" s="70"/>
      <c r="D814" s="70"/>
      <c r="E814" s="70"/>
    </row>
    <row r="815">
      <c r="B815" s="70"/>
      <c r="C815" s="70"/>
      <c r="D815" s="70"/>
      <c r="E815" s="70"/>
    </row>
    <row r="816">
      <c r="B816" s="70"/>
      <c r="C816" s="70"/>
      <c r="D816" s="70"/>
      <c r="E816" s="70"/>
    </row>
    <row r="817">
      <c r="B817" s="70"/>
      <c r="C817" s="70"/>
      <c r="D817" s="70"/>
      <c r="E817" s="70"/>
    </row>
    <row r="818">
      <c r="B818" s="70"/>
      <c r="C818" s="70"/>
      <c r="D818" s="70"/>
      <c r="E818" s="70"/>
    </row>
    <row r="819">
      <c r="B819" s="70"/>
      <c r="C819" s="70"/>
      <c r="D819" s="70"/>
      <c r="E819" s="70"/>
    </row>
    <row r="820">
      <c r="B820" s="70"/>
      <c r="C820" s="70"/>
      <c r="D820" s="70"/>
      <c r="E820" s="70"/>
    </row>
    <row r="821">
      <c r="B821" s="70"/>
      <c r="C821" s="70"/>
      <c r="D821" s="70"/>
      <c r="E821" s="70"/>
    </row>
    <row r="822">
      <c r="B822" s="70"/>
      <c r="C822" s="70"/>
      <c r="D822" s="70"/>
      <c r="E822" s="70"/>
    </row>
    <row r="823">
      <c r="B823" s="70"/>
      <c r="C823" s="70"/>
      <c r="D823" s="70"/>
      <c r="E823" s="70"/>
    </row>
    <row r="824">
      <c r="B824" s="70"/>
      <c r="C824" s="70"/>
      <c r="D824" s="70"/>
      <c r="E824" s="70"/>
    </row>
    <row r="825">
      <c r="B825" s="70"/>
      <c r="C825" s="70"/>
      <c r="D825" s="70"/>
      <c r="E825" s="70"/>
    </row>
    <row r="826">
      <c r="B826" s="70"/>
      <c r="C826" s="70"/>
      <c r="D826" s="70"/>
      <c r="E826" s="70"/>
    </row>
    <row r="827">
      <c r="B827" s="70"/>
      <c r="C827" s="70"/>
      <c r="D827" s="70"/>
      <c r="E827" s="70"/>
    </row>
    <row r="828">
      <c r="B828" s="70"/>
      <c r="C828" s="70"/>
      <c r="D828" s="70"/>
      <c r="E828" s="70"/>
    </row>
    <row r="829">
      <c r="B829" s="70"/>
      <c r="C829" s="70"/>
      <c r="D829" s="70"/>
      <c r="E829" s="70"/>
    </row>
    <row r="830">
      <c r="B830" s="70"/>
      <c r="C830" s="70"/>
      <c r="D830" s="70"/>
      <c r="E830" s="70"/>
    </row>
    <row r="831">
      <c r="B831" s="70"/>
      <c r="C831" s="70"/>
      <c r="D831" s="70"/>
      <c r="E831" s="70"/>
    </row>
    <row r="832">
      <c r="B832" s="70"/>
      <c r="C832" s="70"/>
      <c r="D832" s="70"/>
      <c r="E832" s="70"/>
    </row>
    <row r="833">
      <c r="B833" s="70"/>
      <c r="C833" s="70"/>
      <c r="D833" s="70"/>
      <c r="E833" s="70"/>
    </row>
    <row r="834">
      <c r="B834" s="70"/>
      <c r="C834" s="70"/>
      <c r="D834" s="70"/>
      <c r="E834" s="70"/>
    </row>
    <row r="835">
      <c r="B835" s="70"/>
      <c r="C835" s="70"/>
      <c r="D835" s="70"/>
      <c r="E835" s="70"/>
    </row>
    <row r="836">
      <c r="B836" s="70"/>
      <c r="C836" s="70"/>
      <c r="D836" s="70"/>
      <c r="E836" s="70"/>
    </row>
    <row r="837">
      <c r="B837" s="70"/>
      <c r="C837" s="70"/>
      <c r="D837" s="70"/>
      <c r="E837" s="70"/>
    </row>
    <row r="838">
      <c r="B838" s="70"/>
      <c r="C838" s="70"/>
      <c r="D838" s="70"/>
      <c r="E838" s="70"/>
    </row>
    <row r="839">
      <c r="B839" s="70"/>
      <c r="C839" s="70"/>
      <c r="D839" s="70"/>
      <c r="E839" s="70"/>
    </row>
    <row r="840">
      <c r="B840" s="70"/>
      <c r="C840" s="70"/>
      <c r="D840" s="70"/>
      <c r="E840" s="70"/>
    </row>
    <row r="841">
      <c r="B841" s="70"/>
      <c r="C841" s="70"/>
      <c r="D841" s="70"/>
      <c r="E841" s="70"/>
    </row>
    <row r="842">
      <c r="B842" s="70"/>
      <c r="C842" s="70"/>
      <c r="D842" s="70"/>
      <c r="E842" s="70"/>
    </row>
    <row r="843">
      <c r="B843" s="70"/>
      <c r="C843" s="70"/>
      <c r="D843" s="70"/>
      <c r="E843" s="70"/>
    </row>
    <row r="844">
      <c r="B844" s="70"/>
      <c r="C844" s="70"/>
      <c r="D844" s="70"/>
      <c r="E844" s="70"/>
    </row>
    <row r="845">
      <c r="B845" s="70"/>
      <c r="C845" s="70"/>
      <c r="D845" s="70"/>
      <c r="E845" s="70"/>
    </row>
    <row r="846">
      <c r="B846" s="70"/>
      <c r="C846" s="70"/>
      <c r="D846" s="70"/>
      <c r="E846" s="70"/>
    </row>
    <row r="847">
      <c r="B847" s="70"/>
      <c r="C847" s="70"/>
      <c r="D847" s="70"/>
      <c r="E847" s="70"/>
    </row>
    <row r="848">
      <c r="B848" s="70"/>
      <c r="C848" s="70"/>
      <c r="D848" s="70"/>
      <c r="E848" s="70"/>
    </row>
    <row r="849">
      <c r="B849" s="70"/>
      <c r="C849" s="70"/>
      <c r="D849" s="70"/>
      <c r="E849" s="70"/>
    </row>
    <row r="850">
      <c r="B850" s="70"/>
      <c r="C850" s="70"/>
      <c r="D850" s="70"/>
      <c r="E850" s="70"/>
    </row>
    <row r="851">
      <c r="B851" s="70"/>
      <c r="C851" s="70"/>
      <c r="D851" s="70"/>
      <c r="E851" s="70"/>
    </row>
    <row r="852">
      <c r="B852" s="70"/>
      <c r="C852" s="70"/>
      <c r="D852" s="70"/>
      <c r="E852" s="70"/>
    </row>
    <row r="853">
      <c r="B853" s="70"/>
      <c r="C853" s="70"/>
      <c r="D853" s="70"/>
      <c r="E853" s="70"/>
    </row>
    <row r="854">
      <c r="B854" s="70"/>
      <c r="C854" s="70"/>
      <c r="D854" s="70"/>
      <c r="E854" s="70"/>
    </row>
    <row r="855">
      <c r="B855" s="70"/>
      <c r="C855" s="70"/>
      <c r="D855" s="70"/>
      <c r="E855" s="70"/>
    </row>
    <row r="856">
      <c r="B856" s="70"/>
      <c r="C856" s="70"/>
      <c r="D856" s="70"/>
      <c r="E856" s="70"/>
    </row>
    <row r="857">
      <c r="B857" s="70"/>
      <c r="C857" s="70"/>
      <c r="D857" s="70"/>
      <c r="E857" s="70"/>
    </row>
    <row r="858">
      <c r="B858" s="70"/>
      <c r="C858" s="70"/>
      <c r="D858" s="70"/>
      <c r="E858" s="70"/>
    </row>
    <row r="859">
      <c r="B859" s="70"/>
      <c r="C859" s="70"/>
      <c r="D859" s="70"/>
      <c r="E859" s="70"/>
    </row>
    <row r="860">
      <c r="B860" s="70"/>
      <c r="C860" s="70"/>
      <c r="D860" s="70"/>
      <c r="E860" s="70"/>
    </row>
    <row r="861">
      <c r="B861" s="70"/>
      <c r="C861" s="70"/>
      <c r="D861" s="70"/>
      <c r="E861" s="70"/>
    </row>
    <row r="862">
      <c r="B862" s="70"/>
      <c r="C862" s="70"/>
      <c r="D862" s="70"/>
      <c r="E862" s="70"/>
    </row>
    <row r="863">
      <c r="B863" s="70"/>
      <c r="C863" s="70"/>
      <c r="D863" s="70"/>
      <c r="E863" s="70"/>
    </row>
    <row r="864">
      <c r="B864" s="70"/>
      <c r="C864" s="70"/>
      <c r="D864" s="70"/>
      <c r="E864" s="70"/>
    </row>
    <row r="865">
      <c r="B865" s="70"/>
      <c r="C865" s="70"/>
      <c r="D865" s="70"/>
      <c r="E865" s="70"/>
    </row>
    <row r="866">
      <c r="B866" s="70"/>
      <c r="C866" s="70"/>
      <c r="D866" s="70"/>
      <c r="E866" s="70"/>
    </row>
    <row r="867">
      <c r="B867" s="70"/>
      <c r="C867" s="70"/>
      <c r="D867" s="70"/>
      <c r="E867" s="70"/>
    </row>
    <row r="868">
      <c r="B868" s="70"/>
      <c r="C868" s="70"/>
      <c r="D868" s="70"/>
      <c r="E868" s="70"/>
    </row>
    <row r="869">
      <c r="B869" s="70"/>
      <c r="C869" s="70"/>
      <c r="D869" s="70"/>
      <c r="E869" s="70"/>
    </row>
    <row r="870">
      <c r="B870" s="70"/>
      <c r="C870" s="70"/>
      <c r="D870" s="70"/>
      <c r="E870" s="70"/>
    </row>
    <row r="871">
      <c r="B871" s="70"/>
      <c r="C871" s="70"/>
      <c r="D871" s="70"/>
      <c r="E871" s="70"/>
    </row>
    <row r="872">
      <c r="B872" s="70"/>
      <c r="C872" s="70"/>
      <c r="D872" s="70"/>
      <c r="E872" s="70"/>
    </row>
    <row r="873">
      <c r="B873" s="70"/>
      <c r="C873" s="70"/>
      <c r="D873" s="70"/>
      <c r="E873" s="70"/>
    </row>
    <row r="874">
      <c r="B874" s="70"/>
      <c r="C874" s="70"/>
      <c r="D874" s="70"/>
      <c r="E874" s="70"/>
    </row>
    <row r="875">
      <c r="B875" s="70"/>
      <c r="C875" s="70"/>
      <c r="D875" s="70"/>
      <c r="E875" s="70"/>
    </row>
    <row r="876">
      <c r="B876" s="70"/>
      <c r="C876" s="70"/>
      <c r="D876" s="70"/>
      <c r="E876" s="70"/>
    </row>
    <row r="877">
      <c r="B877" s="70"/>
      <c r="C877" s="70"/>
      <c r="D877" s="70"/>
      <c r="E877" s="70"/>
    </row>
    <row r="878">
      <c r="B878" s="70"/>
      <c r="C878" s="70"/>
      <c r="D878" s="70"/>
      <c r="E878" s="70"/>
    </row>
    <row r="879">
      <c r="B879" s="70"/>
      <c r="C879" s="70"/>
      <c r="D879" s="70"/>
      <c r="E879" s="70"/>
    </row>
    <row r="880">
      <c r="B880" s="70"/>
      <c r="C880" s="70"/>
      <c r="D880" s="70"/>
      <c r="E880" s="70"/>
    </row>
    <row r="881">
      <c r="B881" s="70"/>
      <c r="C881" s="70"/>
      <c r="D881" s="70"/>
      <c r="E881" s="70"/>
    </row>
    <row r="882">
      <c r="B882" s="70"/>
      <c r="C882" s="70"/>
      <c r="D882" s="70"/>
      <c r="E882" s="70"/>
    </row>
    <row r="883">
      <c r="B883" s="70"/>
      <c r="C883" s="70"/>
      <c r="D883" s="70"/>
      <c r="E883" s="70"/>
    </row>
    <row r="884">
      <c r="B884" s="70"/>
      <c r="C884" s="70"/>
      <c r="D884" s="70"/>
      <c r="E884" s="70"/>
    </row>
    <row r="885">
      <c r="B885" s="70"/>
      <c r="C885" s="70"/>
      <c r="D885" s="70"/>
      <c r="E885" s="70"/>
    </row>
    <row r="886">
      <c r="B886" s="70"/>
      <c r="C886" s="70"/>
      <c r="D886" s="70"/>
      <c r="E886" s="70"/>
    </row>
    <row r="887">
      <c r="B887" s="70"/>
      <c r="C887" s="70"/>
      <c r="D887" s="70"/>
      <c r="E887" s="70"/>
    </row>
    <row r="888">
      <c r="B888" s="70"/>
      <c r="C888" s="70"/>
      <c r="D888" s="70"/>
      <c r="E888" s="70"/>
    </row>
    <row r="889">
      <c r="B889" s="70"/>
      <c r="C889" s="70"/>
      <c r="D889" s="70"/>
      <c r="E889" s="70"/>
    </row>
    <row r="890">
      <c r="B890" s="70"/>
      <c r="C890" s="70"/>
      <c r="D890" s="70"/>
      <c r="E890" s="70"/>
    </row>
    <row r="891">
      <c r="B891" s="70"/>
      <c r="C891" s="70"/>
      <c r="D891" s="70"/>
      <c r="E891" s="70"/>
    </row>
    <row r="892">
      <c r="B892" s="70"/>
      <c r="C892" s="70"/>
      <c r="D892" s="70"/>
      <c r="E892" s="70"/>
    </row>
    <row r="893">
      <c r="B893" s="70"/>
      <c r="C893" s="70"/>
      <c r="D893" s="70"/>
      <c r="E893" s="70"/>
    </row>
    <row r="894">
      <c r="B894" s="70"/>
      <c r="C894" s="70"/>
      <c r="D894" s="70"/>
      <c r="E894" s="70"/>
    </row>
    <row r="895">
      <c r="B895" s="70"/>
      <c r="C895" s="70"/>
      <c r="D895" s="70"/>
      <c r="E895" s="70"/>
    </row>
    <row r="896">
      <c r="B896" s="70"/>
      <c r="C896" s="70"/>
      <c r="D896" s="70"/>
      <c r="E896" s="70"/>
    </row>
    <row r="897">
      <c r="B897" s="70"/>
      <c r="C897" s="70"/>
      <c r="D897" s="70"/>
      <c r="E897" s="70"/>
    </row>
    <row r="898">
      <c r="B898" s="70"/>
      <c r="C898" s="70"/>
      <c r="D898" s="70"/>
      <c r="E898" s="70"/>
    </row>
    <row r="899">
      <c r="B899" s="70"/>
      <c r="C899" s="70"/>
      <c r="D899" s="70"/>
      <c r="E899" s="70"/>
    </row>
    <row r="900">
      <c r="B900" s="70"/>
      <c r="C900" s="70"/>
      <c r="D900" s="70"/>
      <c r="E900" s="70"/>
    </row>
    <row r="901">
      <c r="B901" s="70"/>
      <c r="C901" s="70"/>
      <c r="D901" s="70"/>
      <c r="E901" s="70"/>
    </row>
    <row r="902">
      <c r="B902" s="70"/>
      <c r="C902" s="70"/>
      <c r="D902" s="70"/>
      <c r="E902" s="70"/>
    </row>
    <row r="903">
      <c r="B903" s="70"/>
      <c r="C903" s="70"/>
      <c r="D903" s="70"/>
      <c r="E903" s="70"/>
    </row>
    <row r="904">
      <c r="B904" s="70"/>
      <c r="C904" s="70"/>
      <c r="D904" s="70"/>
      <c r="E904" s="70"/>
    </row>
    <row r="905">
      <c r="B905" s="70"/>
      <c r="C905" s="70"/>
      <c r="D905" s="70"/>
      <c r="E905" s="70"/>
    </row>
    <row r="906">
      <c r="B906" s="70"/>
      <c r="C906" s="70"/>
      <c r="D906" s="70"/>
      <c r="E906" s="70"/>
    </row>
    <row r="907">
      <c r="B907" s="70"/>
      <c r="C907" s="70"/>
      <c r="D907" s="70"/>
      <c r="E907" s="70"/>
    </row>
    <row r="908">
      <c r="B908" s="70"/>
      <c r="C908" s="70"/>
      <c r="D908" s="70"/>
      <c r="E908" s="70"/>
    </row>
    <row r="909">
      <c r="B909" s="70"/>
      <c r="C909" s="70"/>
      <c r="D909" s="70"/>
      <c r="E909" s="70"/>
    </row>
    <row r="910">
      <c r="B910" s="70"/>
      <c r="C910" s="70"/>
      <c r="D910" s="70"/>
      <c r="E910" s="70"/>
    </row>
    <row r="911">
      <c r="B911" s="70"/>
      <c r="C911" s="70"/>
      <c r="D911" s="70"/>
      <c r="E911" s="70"/>
    </row>
    <row r="912">
      <c r="B912" s="70"/>
      <c r="C912" s="70"/>
      <c r="D912" s="70"/>
      <c r="E912" s="70"/>
    </row>
    <row r="913">
      <c r="B913" s="70"/>
      <c r="C913" s="70"/>
      <c r="D913" s="70"/>
      <c r="E913" s="70"/>
    </row>
    <row r="914">
      <c r="B914" s="70"/>
      <c r="C914" s="70"/>
      <c r="D914" s="70"/>
      <c r="E914" s="70"/>
    </row>
    <row r="915">
      <c r="B915" s="70"/>
      <c r="C915" s="70"/>
      <c r="D915" s="70"/>
      <c r="E915" s="70"/>
    </row>
    <row r="916">
      <c r="B916" s="70"/>
      <c r="C916" s="70"/>
      <c r="D916" s="70"/>
      <c r="E916" s="70"/>
    </row>
    <row r="917">
      <c r="B917" s="70"/>
      <c r="C917" s="70"/>
      <c r="D917" s="70"/>
      <c r="E917" s="70"/>
    </row>
    <row r="918">
      <c r="B918" s="70"/>
      <c r="C918" s="70"/>
      <c r="D918" s="70"/>
      <c r="E918" s="70"/>
    </row>
    <row r="919">
      <c r="B919" s="70"/>
      <c r="C919" s="70"/>
      <c r="D919" s="70"/>
      <c r="E919" s="70"/>
    </row>
    <row r="920">
      <c r="B920" s="70"/>
      <c r="C920" s="70"/>
      <c r="D920" s="70"/>
      <c r="E920" s="70"/>
    </row>
    <row r="921">
      <c r="B921" s="70"/>
      <c r="C921" s="70"/>
      <c r="D921" s="70"/>
      <c r="E921" s="70"/>
    </row>
    <row r="922">
      <c r="B922" s="70"/>
      <c r="C922" s="70"/>
      <c r="D922" s="70"/>
      <c r="E922" s="70"/>
    </row>
    <row r="923">
      <c r="B923" s="70"/>
      <c r="C923" s="70"/>
      <c r="D923" s="70"/>
      <c r="E923" s="70"/>
    </row>
    <row r="924">
      <c r="B924" s="70"/>
      <c r="C924" s="70"/>
      <c r="D924" s="70"/>
      <c r="E924" s="70"/>
    </row>
    <row r="925">
      <c r="B925" s="70"/>
      <c r="C925" s="70"/>
      <c r="D925" s="70"/>
      <c r="E925" s="70"/>
    </row>
    <row r="926">
      <c r="B926" s="70"/>
      <c r="C926" s="70"/>
      <c r="D926" s="70"/>
      <c r="E926" s="70"/>
    </row>
    <row r="927">
      <c r="B927" s="70"/>
      <c r="C927" s="70"/>
      <c r="D927" s="70"/>
      <c r="E927" s="70"/>
    </row>
    <row r="928">
      <c r="B928" s="70"/>
      <c r="C928" s="70"/>
      <c r="D928" s="70"/>
      <c r="E928" s="70"/>
    </row>
    <row r="929">
      <c r="B929" s="70"/>
      <c r="C929" s="70"/>
      <c r="D929" s="70"/>
      <c r="E929" s="70"/>
    </row>
    <row r="930">
      <c r="B930" s="70"/>
      <c r="C930" s="70"/>
      <c r="D930" s="70"/>
      <c r="E930" s="70"/>
    </row>
    <row r="931">
      <c r="B931" s="70"/>
      <c r="C931" s="70"/>
      <c r="D931" s="70"/>
      <c r="E931" s="70"/>
    </row>
    <row r="932">
      <c r="B932" s="70"/>
      <c r="C932" s="70"/>
      <c r="D932" s="70"/>
      <c r="E932" s="70"/>
    </row>
    <row r="933">
      <c r="B933" s="70"/>
      <c r="C933" s="70"/>
      <c r="D933" s="70"/>
      <c r="E933" s="70"/>
    </row>
    <row r="934">
      <c r="B934" s="70"/>
      <c r="C934" s="70"/>
      <c r="D934" s="70"/>
      <c r="E934" s="70"/>
    </row>
    <row r="935">
      <c r="B935" s="70"/>
      <c r="C935" s="70"/>
      <c r="D935" s="70"/>
      <c r="E935" s="70"/>
    </row>
    <row r="936">
      <c r="B936" s="70"/>
      <c r="C936" s="70"/>
      <c r="D936" s="70"/>
      <c r="E936" s="70"/>
    </row>
    <row r="937">
      <c r="B937" s="70"/>
      <c r="C937" s="70"/>
      <c r="D937" s="70"/>
      <c r="E937" s="70"/>
    </row>
    <row r="938">
      <c r="B938" s="70"/>
      <c r="C938" s="70"/>
      <c r="D938" s="70"/>
      <c r="E938" s="70"/>
    </row>
    <row r="939">
      <c r="B939" s="70"/>
      <c r="C939" s="70"/>
      <c r="D939" s="70"/>
      <c r="E939" s="70"/>
    </row>
    <row r="940">
      <c r="B940" s="70"/>
      <c r="C940" s="70"/>
      <c r="D940" s="70"/>
      <c r="E940" s="70"/>
    </row>
    <row r="941">
      <c r="B941" s="70"/>
      <c r="C941" s="70"/>
      <c r="D941" s="70"/>
      <c r="E941" s="70"/>
    </row>
    <row r="942">
      <c r="B942" s="70"/>
      <c r="C942" s="70"/>
      <c r="D942" s="70"/>
      <c r="E942" s="70"/>
    </row>
    <row r="943">
      <c r="B943" s="70"/>
      <c r="C943" s="70"/>
      <c r="D943" s="70"/>
      <c r="E943" s="70"/>
    </row>
    <row r="944">
      <c r="B944" s="70"/>
      <c r="C944" s="70"/>
      <c r="D944" s="70"/>
      <c r="E944" s="70"/>
    </row>
    <row r="945">
      <c r="B945" s="70"/>
      <c r="C945" s="70"/>
      <c r="D945" s="70"/>
      <c r="E945" s="70"/>
    </row>
    <row r="946">
      <c r="B946" s="70"/>
      <c r="C946" s="70"/>
      <c r="D946" s="70"/>
      <c r="E946" s="70"/>
    </row>
    <row r="947">
      <c r="B947" s="70"/>
      <c r="C947" s="70"/>
      <c r="D947" s="70"/>
      <c r="E947" s="70"/>
    </row>
    <row r="948">
      <c r="B948" s="70"/>
      <c r="C948" s="70"/>
      <c r="D948" s="70"/>
      <c r="E948" s="70"/>
    </row>
    <row r="949">
      <c r="B949" s="70"/>
      <c r="C949" s="70"/>
      <c r="D949" s="70"/>
      <c r="E949" s="70"/>
    </row>
    <row r="950">
      <c r="B950" s="70"/>
      <c r="C950" s="70"/>
      <c r="D950" s="70"/>
      <c r="E950" s="70"/>
    </row>
    <row r="951">
      <c r="B951" s="70"/>
      <c r="C951" s="70"/>
      <c r="D951" s="70"/>
      <c r="E951" s="70"/>
    </row>
    <row r="952">
      <c r="B952" s="70"/>
      <c r="C952" s="70"/>
      <c r="D952" s="70"/>
      <c r="E952" s="70"/>
    </row>
    <row r="953">
      <c r="B953" s="70"/>
      <c r="C953" s="70"/>
      <c r="D953" s="70"/>
      <c r="E953" s="70"/>
    </row>
    <row r="954">
      <c r="B954" s="70"/>
      <c r="C954" s="70"/>
      <c r="D954" s="70"/>
      <c r="E954" s="70"/>
    </row>
    <row r="955">
      <c r="B955" s="70"/>
      <c r="C955" s="70"/>
      <c r="D955" s="70"/>
      <c r="E955" s="70"/>
    </row>
    <row r="956">
      <c r="B956" s="70"/>
      <c r="C956" s="70"/>
      <c r="D956" s="70"/>
      <c r="E956" s="70"/>
    </row>
    <row r="957">
      <c r="B957" s="70"/>
      <c r="C957" s="70"/>
      <c r="D957" s="70"/>
      <c r="E957" s="70"/>
    </row>
    <row r="958">
      <c r="B958" s="70"/>
      <c r="C958" s="70"/>
      <c r="D958" s="70"/>
      <c r="E958" s="70"/>
    </row>
    <row r="959">
      <c r="B959" s="70"/>
      <c r="C959" s="70"/>
      <c r="D959" s="70"/>
      <c r="E959" s="70"/>
    </row>
    <row r="960">
      <c r="B960" s="70"/>
      <c r="C960" s="70"/>
      <c r="D960" s="70"/>
      <c r="E960" s="70"/>
    </row>
    <row r="961">
      <c r="B961" s="70"/>
      <c r="C961" s="70"/>
      <c r="D961" s="70"/>
      <c r="E961" s="70"/>
    </row>
    <row r="962">
      <c r="B962" s="70"/>
      <c r="C962" s="70"/>
      <c r="D962" s="70"/>
      <c r="E962" s="70"/>
    </row>
    <row r="963">
      <c r="B963" s="70"/>
      <c r="C963" s="70"/>
      <c r="D963" s="70"/>
      <c r="E963" s="70"/>
    </row>
    <row r="964">
      <c r="B964" s="70"/>
      <c r="C964" s="70"/>
      <c r="D964" s="70"/>
      <c r="E964" s="70"/>
    </row>
    <row r="965">
      <c r="B965" s="70"/>
      <c r="C965" s="70"/>
      <c r="D965" s="70"/>
      <c r="E965" s="70"/>
    </row>
    <row r="966">
      <c r="B966" s="70"/>
      <c r="C966" s="70"/>
      <c r="D966" s="70"/>
      <c r="E966" s="70"/>
    </row>
    <row r="967">
      <c r="B967" s="70"/>
      <c r="C967" s="70"/>
      <c r="D967" s="70"/>
      <c r="E967" s="70"/>
    </row>
    <row r="968">
      <c r="B968" s="70"/>
      <c r="C968" s="70"/>
      <c r="D968" s="70"/>
      <c r="E968" s="70"/>
    </row>
    <row r="969">
      <c r="B969" s="70"/>
      <c r="C969" s="70"/>
      <c r="D969" s="70"/>
      <c r="E969" s="70"/>
    </row>
    <row r="970">
      <c r="B970" s="70"/>
      <c r="C970" s="70"/>
      <c r="D970" s="70"/>
      <c r="E970" s="70"/>
    </row>
    <row r="971">
      <c r="B971" s="70"/>
      <c r="C971" s="70"/>
      <c r="D971" s="70"/>
      <c r="E971" s="70"/>
    </row>
    <row r="972">
      <c r="B972" s="70"/>
      <c r="C972" s="70"/>
      <c r="D972" s="70"/>
      <c r="E972" s="70"/>
    </row>
    <row r="973">
      <c r="B973" s="70"/>
      <c r="C973" s="70"/>
      <c r="D973" s="70"/>
      <c r="E973" s="70"/>
    </row>
    <row r="974">
      <c r="B974" s="70"/>
      <c r="C974" s="70"/>
      <c r="D974" s="70"/>
      <c r="E974" s="70"/>
    </row>
    <row r="975">
      <c r="B975" s="70"/>
      <c r="C975" s="70"/>
      <c r="D975" s="70"/>
      <c r="E975" s="70"/>
    </row>
    <row r="976">
      <c r="B976" s="70"/>
      <c r="C976" s="70"/>
      <c r="D976" s="70"/>
      <c r="E976" s="70"/>
    </row>
    <row r="977">
      <c r="B977" s="70"/>
      <c r="C977" s="70"/>
      <c r="D977" s="70"/>
      <c r="E977" s="70"/>
    </row>
    <row r="978">
      <c r="B978" s="70"/>
      <c r="C978" s="70"/>
      <c r="D978" s="70"/>
      <c r="E978" s="70"/>
    </row>
    <row r="979">
      <c r="B979" s="70"/>
      <c r="C979" s="70"/>
      <c r="D979" s="70"/>
      <c r="E979" s="70"/>
    </row>
    <row r="980">
      <c r="B980" s="70"/>
      <c r="C980" s="70"/>
      <c r="D980" s="70"/>
      <c r="E980" s="70"/>
    </row>
    <row r="981">
      <c r="B981" s="70"/>
      <c r="C981" s="70"/>
      <c r="D981" s="70"/>
      <c r="E981" s="70"/>
    </row>
    <row r="982">
      <c r="B982" s="70"/>
      <c r="C982" s="70"/>
      <c r="D982" s="70"/>
      <c r="E982" s="70"/>
    </row>
    <row r="983">
      <c r="B983" s="70"/>
      <c r="C983" s="70"/>
      <c r="D983" s="70"/>
      <c r="E983" s="70"/>
    </row>
    <row r="984">
      <c r="B984" s="70"/>
      <c r="C984" s="70"/>
      <c r="D984" s="70"/>
      <c r="E984" s="70"/>
    </row>
    <row r="985">
      <c r="B985" s="70"/>
      <c r="C985" s="70"/>
      <c r="D985" s="70"/>
      <c r="E985" s="70"/>
    </row>
    <row r="986">
      <c r="B986" s="70"/>
      <c r="C986" s="70"/>
      <c r="D986" s="70"/>
      <c r="E986" s="70"/>
    </row>
    <row r="987">
      <c r="B987" s="70"/>
      <c r="C987" s="70"/>
      <c r="D987" s="70"/>
      <c r="E987" s="70"/>
    </row>
    <row r="988">
      <c r="B988" s="70"/>
      <c r="C988" s="70"/>
      <c r="D988" s="70"/>
      <c r="E988" s="70"/>
    </row>
    <row r="989">
      <c r="B989" s="70"/>
      <c r="C989" s="70"/>
      <c r="D989" s="70"/>
      <c r="E989" s="70"/>
    </row>
    <row r="990">
      <c r="B990" s="70"/>
      <c r="C990" s="70"/>
      <c r="D990" s="70"/>
      <c r="E990" s="70"/>
    </row>
    <row r="991">
      <c r="B991" s="70"/>
      <c r="C991" s="70"/>
      <c r="D991" s="70"/>
      <c r="E991" s="70"/>
    </row>
    <row r="992">
      <c r="B992" s="70"/>
      <c r="C992" s="70"/>
      <c r="D992" s="70"/>
      <c r="E992" s="70"/>
    </row>
    <row r="993">
      <c r="B993" s="70"/>
      <c r="C993" s="70"/>
      <c r="D993" s="70"/>
      <c r="E993" s="70"/>
    </row>
    <row r="994">
      <c r="B994" s="70"/>
      <c r="C994" s="70"/>
      <c r="D994" s="70"/>
      <c r="E994" s="70"/>
    </row>
    <row r="995">
      <c r="B995" s="70"/>
      <c r="C995" s="70"/>
      <c r="D995" s="70"/>
      <c r="E995" s="70"/>
    </row>
    <row r="996">
      <c r="B996" s="70"/>
      <c r="C996" s="70"/>
      <c r="D996" s="70"/>
      <c r="E996" s="70"/>
    </row>
    <row r="997">
      <c r="B997" s="70"/>
      <c r="C997" s="70"/>
      <c r="D997" s="70"/>
      <c r="E997" s="70"/>
    </row>
    <row r="998">
      <c r="B998" s="70"/>
      <c r="C998" s="70"/>
      <c r="D998" s="70"/>
      <c r="E998" s="70"/>
    </row>
    <row r="999">
      <c r="B999" s="70"/>
      <c r="C999" s="70"/>
      <c r="D999" s="70"/>
      <c r="E999" s="70"/>
    </row>
    <row r="1000">
      <c r="B1000" s="70"/>
      <c r="C1000" s="70"/>
      <c r="D1000" s="70"/>
      <c r="E1000" s="70"/>
    </row>
    <row r="1001">
      <c r="B1001" s="70"/>
      <c r="C1001" s="70"/>
      <c r="D1001" s="70"/>
      <c r="E1001" s="70"/>
    </row>
    <row r="1002">
      <c r="B1002" s="70"/>
      <c r="C1002" s="70"/>
      <c r="D1002" s="70"/>
      <c r="E1002" s="70"/>
    </row>
    <row r="1003">
      <c r="B1003" s="70"/>
      <c r="C1003" s="70"/>
      <c r="D1003" s="70"/>
      <c r="E1003" s="70"/>
    </row>
    <row r="1004">
      <c r="B1004" s="70"/>
      <c r="C1004" s="70"/>
      <c r="D1004" s="70"/>
      <c r="E1004" s="70"/>
    </row>
    <row r="1005">
      <c r="B1005" s="70"/>
      <c r="C1005" s="70"/>
      <c r="D1005" s="70"/>
      <c r="E1005" s="70"/>
    </row>
    <row r="1006">
      <c r="B1006" s="70"/>
      <c r="C1006" s="70"/>
      <c r="D1006" s="70"/>
      <c r="E1006" s="70"/>
    </row>
    <row r="1007">
      <c r="B1007" s="70"/>
      <c r="C1007" s="70"/>
      <c r="D1007" s="70"/>
      <c r="E1007" s="70"/>
    </row>
    <row r="1008">
      <c r="B1008" s="70"/>
      <c r="C1008" s="70"/>
      <c r="D1008" s="70"/>
      <c r="E1008" s="70"/>
    </row>
    <row r="1009">
      <c r="B1009" s="70"/>
      <c r="C1009" s="70"/>
      <c r="D1009" s="70"/>
      <c r="E1009" s="70"/>
    </row>
  </sheetData>
  <mergeCells count="5">
    <mergeCell ref="A8:B8"/>
    <mergeCell ref="D8:I8"/>
    <mergeCell ref="K8:M8"/>
    <mergeCell ref="N8:Q8"/>
    <mergeCell ref="U8:Y8"/>
  </mergeCells>
  <dataValidations>
    <dataValidation type="list" allowBlank="1" sqref="G10:G15 G17">
      <formula1>$G$1:$G$3</formula1>
    </dataValidation>
    <dataValidation type="list" allowBlank="1" sqref="H18:H19">
      <formula1>'1.LIST-K12'!$H$1:$H$2</formula1>
    </dataValidation>
    <dataValidation type="list" allowBlank="1" sqref="F16 F18:F19">
      <formula1>'1.LIST-K12'!$F$1:$F$6</formula1>
    </dataValidation>
    <dataValidation type="list" allowBlank="1" sqref="F10:F15 F17">
      <formula1>$F$1:$F$6</formula1>
    </dataValidation>
    <dataValidation type="list" allowBlank="1" sqref="G16 G18:G19">
      <formula1>'1.LIST-K12'!$G$1:$G$3</formula1>
    </dataValidation>
    <dataValidation type="list" allowBlank="1" sqref="H10:H15 H17">
      <formula1>$H$1:$H$2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1.22" defaultRowHeight="15.0"/>
  <cols>
    <col customWidth="1" min="1" max="1" width="8.22"/>
    <col customWidth="1" min="2" max="2" width="23.33"/>
    <col customWidth="1" min="3" max="4" width="17.0"/>
    <col customWidth="1" min="5" max="5" width="11.0"/>
    <col customWidth="1" min="6" max="6" width="15.0"/>
    <col customWidth="1" min="7" max="7" width="16.78"/>
    <col customWidth="1" min="8" max="8" width="14.56"/>
    <col customWidth="1" min="9" max="9" width="12.11"/>
    <col customWidth="1" min="10" max="10" width="16.11"/>
    <col customWidth="1" min="11" max="11" width="17.0"/>
    <col customWidth="1" min="12" max="12" width="16.22"/>
    <col customWidth="1" min="13" max="13" width="23.22"/>
    <col customWidth="1" min="14" max="14" width="10.33"/>
    <col customWidth="1" min="16" max="16" width="7.78"/>
    <col customWidth="1" min="17" max="17" width="11.67"/>
    <col customWidth="1" min="18" max="18" width="13.78"/>
    <col customWidth="1" min="19" max="19" width="8.22"/>
    <col customWidth="1" min="20" max="20" width="21.33"/>
    <col customWidth="1" min="21" max="21" width="17.0"/>
    <col customWidth="1" min="22" max="23" width="15.78"/>
    <col customWidth="1" min="24" max="24" width="19.11"/>
    <col customWidth="1" min="25" max="25" width="17.67"/>
    <col customWidth="1" min="26" max="26" width="20.33"/>
    <col customWidth="1" min="27" max="27" width="19.11"/>
    <col customWidth="1" min="28" max="28" width="20.0"/>
    <col customWidth="1" min="29" max="29" width="26.56"/>
  </cols>
  <sheetData>
    <row r="1" ht="15.0" hidden="1" customHeight="1">
      <c r="A1" s="27"/>
      <c r="B1" s="28"/>
      <c r="C1" s="28"/>
      <c r="D1" s="28"/>
      <c r="E1" s="28"/>
      <c r="F1" s="27" t="s">
        <v>121</v>
      </c>
      <c r="G1" s="3" t="s">
        <v>122</v>
      </c>
      <c r="H1" s="27" t="s">
        <v>123</v>
      </c>
      <c r="I1" s="27" t="s">
        <v>124</v>
      </c>
      <c r="J1" s="27" t="s">
        <v>125</v>
      </c>
    </row>
    <row r="2" ht="15.0" hidden="1" customHeight="1">
      <c r="A2" s="27"/>
      <c r="B2" s="28"/>
      <c r="C2" s="28"/>
      <c r="D2" s="28"/>
      <c r="E2" s="28"/>
      <c r="F2" s="27" t="s">
        <v>126</v>
      </c>
      <c r="G2" s="30" t="s">
        <v>127</v>
      </c>
      <c r="H2" s="27" t="s">
        <v>128</v>
      </c>
      <c r="I2" s="27" t="s">
        <v>129</v>
      </c>
      <c r="J2" s="27" t="s">
        <v>130</v>
      </c>
    </row>
    <row r="3" ht="15.0" hidden="1" customHeight="1">
      <c r="A3" s="27"/>
      <c r="B3" s="28"/>
      <c r="C3" s="28"/>
      <c r="D3" s="28"/>
      <c r="E3" s="28"/>
      <c r="F3" s="27" t="s">
        <v>131</v>
      </c>
      <c r="G3" s="31" t="s">
        <v>132</v>
      </c>
      <c r="H3" s="27"/>
      <c r="I3" s="27" t="s">
        <v>133</v>
      </c>
      <c r="J3" s="27" t="s">
        <v>134</v>
      </c>
    </row>
    <row r="4" ht="15.0" hidden="1" customHeight="1">
      <c r="A4" s="27"/>
      <c r="B4" s="28"/>
      <c r="C4" s="28"/>
      <c r="D4" s="28"/>
      <c r="E4" s="28"/>
      <c r="F4" s="27" t="s">
        <v>135</v>
      </c>
      <c r="G4" s="27"/>
      <c r="H4" s="27"/>
      <c r="I4" s="27"/>
      <c r="J4" s="27"/>
    </row>
    <row r="5" ht="15.0" hidden="1" customHeight="1">
      <c r="A5" s="27"/>
      <c r="B5" s="28"/>
      <c r="C5" s="28"/>
      <c r="D5" s="28"/>
      <c r="E5" s="28"/>
      <c r="F5" s="27" t="s">
        <v>136</v>
      </c>
      <c r="G5" s="27"/>
      <c r="H5" s="27"/>
      <c r="I5" s="27"/>
      <c r="J5" s="27" t="s">
        <v>137</v>
      </c>
    </row>
    <row r="6" ht="15.0" hidden="1" customHeight="1">
      <c r="A6" s="27"/>
      <c r="B6" s="28"/>
      <c r="C6" s="28"/>
      <c r="D6" s="28"/>
      <c r="E6" s="28"/>
      <c r="F6" s="27" t="s">
        <v>138</v>
      </c>
      <c r="G6" s="27"/>
      <c r="H6" s="27"/>
      <c r="I6" s="27"/>
      <c r="J6" s="27" t="s">
        <v>139</v>
      </c>
    </row>
    <row r="7">
      <c r="A7" s="27" t="s">
        <v>140</v>
      </c>
      <c r="B7" s="28"/>
      <c r="C7" s="28"/>
      <c r="D7" s="28" t="s">
        <v>141</v>
      </c>
      <c r="E7" s="28"/>
      <c r="F7" s="27"/>
      <c r="G7" s="27"/>
      <c r="H7" s="27"/>
      <c r="I7" s="27"/>
      <c r="J7" s="27"/>
      <c r="K7" s="27" t="s">
        <v>142</v>
      </c>
    </row>
    <row r="8" ht="30.0" customHeight="1">
      <c r="A8" s="1" t="s">
        <v>0</v>
      </c>
      <c r="C8" s="1"/>
      <c r="D8" s="32" t="s">
        <v>370</v>
      </c>
      <c r="J8" s="33"/>
      <c r="K8" s="34" t="s">
        <v>144</v>
      </c>
      <c r="N8" s="35" t="s">
        <v>371</v>
      </c>
      <c r="R8" s="35"/>
      <c r="S8" s="35"/>
      <c r="T8" s="2" t="s">
        <v>146</v>
      </c>
      <c r="Z8" s="37"/>
      <c r="AA8" s="37"/>
      <c r="AB8" s="37"/>
      <c r="AC8" s="37"/>
      <c r="AD8" s="37"/>
      <c r="AE8" s="37"/>
      <c r="AF8" s="37"/>
      <c r="AG8" s="37"/>
      <c r="AH8" s="37"/>
    </row>
    <row r="9" ht="30.0" customHeight="1">
      <c r="A9" s="2" t="s">
        <v>1</v>
      </c>
      <c r="B9" s="1" t="s">
        <v>2</v>
      </c>
      <c r="C9" s="1" t="s">
        <v>372</v>
      </c>
      <c r="D9" s="32" t="s">
        <v>373</v>
      </c>
      <c r="E9" s="32" t="s">
        <v>148</v>
      </c>
      <c r="F9" s="33" t="s">
        <v>149</v>
      </c>
      <c r="G9" s="33" t="s">
        <v>150</v>
      </c>
      <c r="H9" s="33" t="s">
        <v>151</v>
      </c>
      <c r="I9" s="33" t="s">
        <v>152</v>
      </c>
      <c r="J9" s="33" t="s">
        <v>153</v>
      </c>
      <c r="K9" s="34" t="s">
        <v>154</v>
      </c>
      <c r="L9" s="34" t="s">
        <v>155</v>
      </c>
      <c r="M9" s="34" t="s">
        <v>374</v>
      </c>
      <c r="N9" s="35" t="s">
        <v>158</v>
      </c>
      <c r="O9" s="35" t="s">
        <v>375</v>
      </c>
      <c r="P9" s="35" t="s">
        <v>160</v>
      </c>
      <c r="Q9" s="35" t="s">
        <v>376</v>
      </c>
      <c r="R9" s="40" t="s">
        <v>437</v>
      </c>
      <c r="S9" s="40" t="s">
        <v>438</v>
      </c>
      <c r="T9" s="1" t="s">
        <v>439</v>
      </c>
      <c r="U9" s="2" t="s">
        <v>440</v>
      </c>
      <c r="V9" s="2" t="s">
        <v>441</v>
      </c>
      <c r="W9" s="2" t="s">
        <v>442</v>
      </c>
      <c r="X9" s="79" t="s">
        <v>443</v>
      </c>
      <c r="Y9" s="1" t="s">
        <v>444</v>
      </c>
      <c r="Z9" s="2" t="s">
        <v>445</v>
      </c>
      <c r="AA9" s="2" t="s">
        <v>446</v>
      </c>
      <c r="AB9" s="2" t="s">
        <v>447</v>
      </c>
      <c r="AC9" s="2" t="s">
        <v>448</v>
      </c>
      <c r="AD9" s="37"/>
      <c r="AE9" s="37"/>
      <c r="AF9" s="37"/>
      <c r="AG9" s="37"/>
      <c r="AH9" s="37"/>
    </row>
    <row r="10" ht="45.0" customHeight="1">
      <c r="A10" s="43">
        <v>2008.0</v>
      </c>
      <c r="B10" s="44" t="s">
        <v>67</v>
      </c>
      <c r="C10" s="44" t="s">
        <v>449</v>
      </c>
      <c r="D10" s="80" t="s">
        <v>450</v>
      </c>
      <c r="E10" s="44" t="s">
        <v>451</v>
      </c>
      <c r="F10" s="43" t="s">
        <v>121</v>
      </c>
      <c r="G10" s="43" t="s">
        <v>132</v>
      </c>
      <c r="H10" s="43" t="s">
        <v>128</v>
      </c>
      <c r="I10" s="43" t="s">
        <v>124</v>
      </c>
      <c r="J10" s="43" t="s">
        <v>214</v>
      </c>
      <c r="K10" s="47"/>
      <c r="L10" s="47"/>
      <c r="M10" s="47"/>
      <c r="N10" s="43">
        <v>302191.75</v>
      </c>
      <c r="O10" s="43">
        <v>70880.0</v>
      </c>
      <c r="P10" s="48">
        <v>0.04</v>
      </c>
      <c r="Q10" s="48" t="s">
        <v>215</v>
      </c>
      <c r="R10" s="81">
        <v>0.3583</v>
      </c>
      <c r="S10" s="49" t="s">
        <v>316</v>
      </c>
      <c r="T10" s="48" t="s">
        <v>217</v>
      </c>
      <c r="U10" s="47"/>
      <c r="V10" s="47"/>
      <c r="W10" s="47"/>
      <c r="X10" s="48"/>
      <c r="Y10" s="48"/>
      <c r="Z10" s="47"/>
      <c r="AA10" s="47"/>
      <c r="AB10" s="47"/>
      <c r="AC10" s="47"/>
      <c r="AD10" s="47"/>
      <c r="AE10" s="47"/>
      <c r="AF10" s="47"/>
      <c r="AG10" s="47"/>
      <c r="AH10" s="47"/>
    </row>
    <row r="11" ht="45.0" customHeight="1">
      <c r="A11" s="49">
        <v>2005.0</v>
      </c>
      <c r="B11" s="44" t="s">
        <v>63</v>
      </c>
      <c r="C11" s="63" t="s">
        <v>452</v>
      </c>
      <c r="D11" s="44" t="s">
        <v>453</v>
      </c>
      <c r="E11" s="67" t="s">
        <v>454</v>
      </c>
      <c r="F11" s="43" t="s">
        <v>121</v>
      </c>
      <c r="G11" s="43" t="s">
        <v>132</v>
      </c>
      <c r="H11" s="43" t="s">
        <v>128</v>
      </c>
      <c r="I11" s="43" t="s">
        <v>405</v>
      </c>
      <c r="J11" s="44" t="s">
        <v>254</v>
      </c>
      <c r="K11" s="47"/>
      <c r="L11" s="47"/>
      <c r="M11" s="47"/>
      <c r="N11" s="43">
        <v>10104.0</v>
      </c>
      <c r="O11" s="43">
        <v>10398.0</v>
      </c>
      <c r="P11" s="43">
        <v>1.02</v>
      </c>
      <c r="Q11" s="48" t="s">
        <v>215</v>
      </c>
      <c r="R11" s="47"/>
      <c r="S11" s="48" t="s">
        <v>297</v>
      </c>
      <c r="T11" s="48" t="s">
        <v>217</v>
      </c>
      <c r="U11" s="48" t="s">
        <v>455</v>
      </c>
      <c r="V11" s="48" t="s">
        <v>217</v>
      </c>
      <c r="W11" s="48" t="s">
        <v>456</v>
      </c>
      <c r="X11" s="48" t="s">
        <v>457</v>
      </c>
      <c r="Y11" s="48" t="s">
        <v>458</v>
      </c>
      <c r="Z11" s="48" t="s">
        <v>217</v>
      </c>
      <c r="AA11" s="48" t="s">
        <v>217</v>
      </c>
      <c r="AB11" s="48" t="s">
        <v>217</v>
      </c>
      <c r="AC11" s="48" t="s">
        <v>217</v>
      </c>
      <c r="AD11" s="47"/>
      <c r="AE11" s="47"/>
      <c r="AF11" s="47"/>
      <c r="AG11" s="47"/>
      <c r="AH11" s="47"/>
    </row>
    <row r="12" ht="45.0" customHeight="1">
      <c r="A12" s="3">
        <v>2019.0</v>
      </c>
      <c r="B12" s="82" t="s">
        <v>459</v>
      </c>
      <c r="C12" s="4" t="s">
        <v>459</v>
      </c>
      <c r="D12" s="4" t="s">
        <v>460</v>
      </c>
      <c r="E12" s="4" t="s">
        <v>461</v>
      </c>
      <c r="F12" s="3" t="s">
        <v>121</v>
      </c>
      <c r="G12" s="3" t="s">
        <v>127</v>
      </c>
      <c r="H12" s="3" t="s">
        <v>128</v>
      </c>
      <c r="I12" s="3" t="s">
        <v>124</v>
      </c>
      <c r="J12" s="3" t="s">
        <v>130</v>
      </c>
      <c r="K12" s="6"/>
      <c r="L12" s="6"/>
      <c r="M12" s="6"/>
      <c r="N12" s="3">
        <v>6594.6</v>
      </c>
      <c r="O12" s="83" t="s">
        <v>215</v>
      </c>
      <c r="P12" s="83" t="s">
        <v>215</v>
      </c>
      <c r="Q12" s="83" t="s">
        <v>215</v>
      </c>
      <c r="R12" s="83" t="s">
        <v>215</v>
      </c>
      <c r="S12" s="83" t="s">
        <v>215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ht="45.0" customHeight="1">
      <c r="A13" s="3">
        <v>2.0200511E7</v>
      </c>
      <c r="B13" s="4" t="s">
        <v>94</v>
      </c>
      <c r="C13" s="3" t="s">
        <v>95</v>
      </c>
      <c r="D13" s="4" t="s">
        <v>462</v>
      </c>
      <c r="E13" s="84"/>
      <c r="F13" s="3" t="s">
        <v>121</v>
      </c>
      <c r="G13" s="3" t="s">
        <v>127</v>
      </c>
      <c r="H13" s="3" t="s">
        <v>128</v>
      </c>
      <c r="I13" s="3" t="s">
        <v>124</v>
      </c>
      <c r="J13" s="3" t="s">
        <v>130</v>
      </c>
      <c r="K13" s="6"/>
      <c r="L13" s="6"/>
      <c r="M13" s="6"/>
      <c r="N13" s="3">
        <v>22900.0</v>
      </c>
      <c r="O13" s="83" t="s">
        <v>215</v>
      </c>
      <c r="P13" s="83" t="s">
        <v>215</v>
      </c>
      <c r="Q13" s="83" t="s">
        <v>215</v>
      </c>
      <c r="R13" s="83" t="s">
        <v>215</v>
      </c>
      <c r="S13" s="83" t="s">
        <v>215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45.0" customHeight="1">
      <c r="A14" s="3">
        <v>2018.0</v>
      </c>
      <c r="B14" s="25" t="s">
        <v>81</v>
      </c>
      <c r="C14" s="3" t="s">
        <v>82</v>
      </c>
      <c r="D14" s="4" t="s">
        <v>463</v>
      </c>
      <c r="E14" s="84"/>
      <c r="F14" s="3" t="s">
        <v>121</v>
      </c>
      <c r="G14" s="3" t="s">
        <v>127</v>
      </c>
      <c r="H14" s="3" t="s">
        <v>128</v>
      </c>
      <c r="I14" s="3" t="s">
        <v>405</v>
      </c>
      <c r="J14" s="3" t="s">
        <v>130</v>
      </c>
      <c r="K14" s="6"/>
      <c r="L14" s="6"/>
      <c r="M14" s="6"/>
      <c r="N14" s="83" t="s">
        <v>215</v>
      </c>
      <c r="O14" s="83" t="s">
        <v>215</v>
      </c>
      <c r="P14" s="83" t="s">
        <v>215</v>
      </c>
      <c r="Q14" s="83" t="s">
        <v>215</v>
      </c>
      <c r="R14" s="83" t="s">
        <v>215</v>
      </c>
      <c r="S14" s="83" t="s">
        <v>215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ht="45.0" customHeight="1">
      <c r="A15" s="3">
        <v>2.0200712E7</v>
      </c>
      <c r="B15" s="23" t="s">
        <v>101</v>
      </c>
      <c r="C15" s="3" t="s">
        <v>464</v>
      </c>
      <c r="D15" s="4" t="s">
        <v>465</v>
      </c>
      <c r="E15" s="4" t="s">
        <v>451</v>
      </c>
      <c r="F15" s="3" t="s">
        <v>121</v>
      </c>
      <c r="G15" s="3" t="s">
        <v>132</v>
      </c>
      <c r="H15" s="3" t="s">
        <v>128</v>
      </c>
      <c r="I15" s="3" t="s">
        <v>405</v>
      </c>
      <c r="J15" s="3" t="s">
        <v>130</v>
      </c>
      <c r="K15" s="6"/>
      <c r="L15" s="6"/>
      <c r="M15" s="6"/>
      <c r="N15" s="3">
        <v>4500.0</v>
      </c>
      <c r="O15" s="3">
        <v>620.0</v>
      </c>
      <c r="P15" s="3">
        <v>0.14</v>
      </c>
      <c r="Q15" s="3">
        <v>3880.0</v>
      </c>
      <c r="R15" s="83" t="s">
        <v>215</v>
      </c>
      <c r="S15" s="83" t="s">
        <v>215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ht="45.0" customHeight="1">
      <c r="A16" s="27">
        <v>2105.0</v>
      </c>
      <c r="B16" s="23" t="s">
        <v>96</v>
      </c>
      <c r="C16" s="3" t="s">
        <v>466</v>
      </c>
      <c r="D16" s="4" t="s">
        <v>467</v>
      </c>
      <c r="E16" s="4" t="s">
        <v>451</v>
      </c>
      <c r="F16" s="3" t="s">
        <v>121</v>
      </c>
      <c r="G16" s="3" t="s">
        <v>132</v>
      </c>
      <c r="H16" s="3" t="s">
        <v>128</v>
      </c>
      <c r="I16" s="3" t="s">
        <v>468</v>
      </c>
      <c r="J16" s="27" t="s">
        <v>469</v>
      </c>
      <c r="N16" s="27">
        <v>1160.0</v>
      </c>
      <c r="O16" s="83" t="s">
        <v>215</v>
      </c>
      <c r="P16" s="83" t="s">
        <v>215</v>
      </c>
      <c r="Q16" s="83" t="s">
        <v>215</v>
      </c>
      <c r="R16" s="83" t="s">
        <v>215</v>
      </c>
    </row>
    <row r="17" ht="45.0" customHeight="1">
      <c r="A17" s="27">
        <v>2115.0</v>
      </c>
      <c r="B17" s="28" t="s">
        <v>470</v>
      </c>
      <c r="C17" s="70"/>
      <c r="D17" s="70"/>
      <c r="E17" s="70"/>
    </row>
    <row r="18" ht="45.0" customHeight="1">
      <c r="B18" s="70"/>
      <c r="C18" s="70"/>
      <c r="D18" s="70"/>
      <c r="E18" s="70"/>
    </row>
    <row r="19" ht="45.0" customHeight="1">
      <c r="B19" s="70"/>
      <c r="C19" s="70"/>
      <c r="D19" s="70"/>
      <c r="E19" s="70"/>
    </row>
    <row r="20" ht="45.0" customHeight="1">
      <c r="B20" s="70"/>
      <c r="C20" s="70"/>
      <c r="D20" s="70"/>
      <c r="E20" s="70"/>
    </row>
    <row r="21" ht="45.0" customHeight="1">
      <c r="B21" s="70"/>
      <c r="C21" s="70"/>
      <c r="D21" s="70"/>
      <c r="E21" s="70"/>
    </row>
    <row r="22" ht="45.0" customHeight="1">
      <c r="B22" s="70"/>
      <c r="C22" s="70"/>
      <c r="D22" s="70"/>
      <c r="E22" s="70"/>
    </row>
    <row r="23" ht="45.0" customHeight="1">
      <c r="B23" s="70"/>
      <c r="C23" s="70"/>
      <c r="D23" s="70"/>
      <c r="E23" s="70"/>
    </row>
    <row r="24" ht="45.0" customHeight="1">
      <c r="B24" s="70"/>
      <c r="C24" s="70"/>
      <c r="D24" s="70"/>
      <c r="E24" s="70"/>
    </row>
    <row r="25" ht="45.0" customHeight="1">
      <c r="B25" s="70"/>
      <c r="C25" s="70"/>
      <c r="D25" s="70"/>
      <c r="E25" s="70"/>
    </row>
    <row r="26" ht="45.0" customHeight="1">
      <c r="B26" s="70"/>
      <c r="C26" s="70"/>
      <c r="D26" s="70"/>
      <c r="E26" s="70"/>
    </row>
    <row r="27" ht="45.0" customHeight="1">
      <c r="B27" s="70"/>
      <c r="C27" s="70"/>
      <c r="D27" s="70"/>
      <c r="E27" s="70"/>
    </row>
    <row r="28" ht="45.0" customHeight="1">
      <c r="B28" s="70"/>
      <c r="C28" s="70"/>
      <c r="D28" s="70"/>
      <c r="E28" s="70"/>
    </row>
    <row r="29" ht="45.0" customHeight="1">
      <c r="B29" s="70"/>
      <c r="C29" s="70"/>
      <c r="D29" s="70"/>
      <c r="E29" s="70"/>
    </row>
    <row r="30" ht="45.0" customHeight="1">
      <c r="B30" s="70"/>
      <c r="C30" s="70"/>
      <c r="D30" s="70"/>
      <c r="E30" s="70"/>
    </row>
    <row r="31" ht="45.0" customHeight="1">
      <c r="B31" s="70"/>
      <c r="C31" s="70"/>
      <c r="D31" s="70"/>
      <c r="E31" s="70"/>
    </row>
    <row r="32" ht="45.0" customHeight="1">
      <c r="B32" s="70"/>
      <c r="C32" s="70"/>
      <c r="D32" s="70"/>
      <c r="E32" s="70"/>
    </row>
    <row r="33" ht="45.0" customHeight="1">
      <c r="B33" s="70"/>
      <c r="C33" s="70"/>
      <c r="D33" s="70"/>
      <c r="E33" s="70"/>
    </row>
    <row r="34" ht="45.0" customHeight="1">
      <c r="B34" s="70"/>
      <c r="C34" s="70"/>
      <c r="D34" s="70"/>
      <c r="E34" s="70"/>
    </row>
    <row r="35" ht="45.0" customHeight="1">
      <c r="B35" s="70"/>
      <c r="C35" s="70"/>
      <c r="D35" s="70"/>
      <c r="E35" s="70"/>
    </row>
    <row r="36" ht="45.0" customHeight="1">
      <c r="B36" s="70"/>
      <c r="C36" s="70"/>
      <c r="D36" s="70"/>
      <c r="E36" s="70"/>
    </row>
    <row r="37" ht="45.0" customHeight="1">
      <c r="B37" s="70"/>
      <c r="C37" s="70"/>
      <c r="D37" s="70"/>
      <c r="E37" s="70"/>
    </row>
    <row r="38" ht="45.0" customHeight="1">
      <c r="B38" s="70"/>
      <c r="C38" s="70"/>
      <c r="D38" s="70"/>
      <c r="E38" s="70"/>
    </row>
    <row r="39" ht="45.0" customHeight="1">
      <c r="B39" s="70"/>
      <c r="C39" s="70"/>
      <c r="D39" s="70"/>
      <c r="E39" s="70"/>
    </row>
    <row r="40" ht="45.0" customHeight="1">
      <c r="B40" s="70"/>
      <c r="C40" s="70"/>
      <c r="D40" s="70"/>
      <c r="E40" s="70"/>
    </row>
    <row r="41">
      <c r="B41" s="70"/>
      <c r="C41" s="70"/>
      <c r="D41" s="70"/>
      <c r="E41" s="70"/>
    </row>
    <row r="42">
      <c r="B42" s="70"/>
      <c r="C42" s="70"/>
      <c r="D42" s="70"/>
      <c r="E42" s="70"/>
    </row>
    <row r="43">
      <c r="B43" s="70"/>
      <c r="C43" s="70"/>
      <c r="D43" s="70"/>
      <c r="E43" s="70"/>
    </row>
    <row r="44">
      <c r="B44" s="70"/>
      <c r="C44" s="70"/>
      <c r="D44" s="70"/>
      <c r="E44" s="70"/>
    </row>
    <row r="45">
      <c r="B45" s="70"/>
      <c r="C45" s="70"/>
      <c r="D45" s="70"/>
      <c r="E45" s="70"/>
    </row>
    <row r="46">
      <c r="B46" s="70"/>
      <c r="C46" s="70"/>
      <c r="D46" s="70"/>
      <c r="E46" s="70"/>
    </row>
    <row r="47">
      <c r="B47" s="70"/>
      <c r="C47" s="70"/>
      <c r="D47" s="70"/>
      <c r="E47" s="70"/>
    </row>
    <row r="48">
      <c r="B48" s="70"/>
      <c r="C48" s="70"/>
      <c r="D48" s="70"/>
      <c r="E48" s="70"/>
    </row>
    <row r="49">
      <c r="B49" s="70"/>
      <c r="C49" s="70"/>
      <c r="D49" s="70"/>
      <c r="E49" s="70"/>
    </row>
    <row r="50">
      <c r="B50" s="70"/>
      <c r="C50" s="70"/>
      <c r="D50" s="70"/>
      <c r="E50" s="70"/>
    </row>
    <row r="51">
      <c r="B51" s="70"/>
      <c r="C51" s="70"/>
      <c r="D51" s="70"/>
      <c r="E51" s="70"/>
    </row>
    <row r="52">
      <c r="B52" s="70"/>
      <c r="C52" s="70"/>
      <c r="D52" s="70"/>
      <c r="E52" s="70"/>
    </row>
    <row r="53">
      <c r="B53" s="70"/>
      <c r="C53" s="70"/>
      <c r="D53" s="70"/>
      <c r="E53" s="70"/>
    </row>
    <row r="54">
      <c r="B54" s="70"/>
      <c r="C54" s="70"/>
      <c r="D54" s="70"/>
      <c r="E54" s="70"/>
    </row>
    <row r="55">
      <c r="B55" s="70"/>
      <c r="C55" s="70"/>
      <c r="D55" s="70"/>
      <c r="E55" s="70"/>
    </row>
    <row r="56">
      <c r="B56" s="70"/>
      <c r="C56" s="70"/>
      <c r="D56" s="70"/>
      <c r="E56" s="70"/>
    </row>
    <row r="57">
      <c r="B57" s="70"/>
      <c r="C57" s="70"/>
      <c r="D57" s="70"/>
      <c r="E57" s="70"/>
    </row>
    <row r="58">
      <c r="B58" s="70"/>
      <c r="C58" s="70"/>
      <c r="D58" s="70"/>
      <c r="E58" s="70"/>
    </row>
    <row r="59">
      <c r="B59" s="70"/>
      <c r="C59" s="70"/>
      <c r="D59" s="70"/>
      <c r="E59" s="70"/>
    </row>
    <row r="60">
      <c r="B60" s="70"/>
      <c r="C60" s="70"/>
      <c r="D60" s="70"/>
      <c r="E60" s="70"/>
    </row>
    <row r="61">
      <c r="B61" s="70"/>
      <c r="C61" s="70"/>
      <c r="D61" s="70"/>
      <c r="E61" s="70"/>
    </row>
    <row r="62">
      <c r="B62" s="70"/>
      <c r="C62" s="70"/>
      <c r="D62" s="70"/>
      <c r="E62" s="70"/>
    </row>
    <row r="63">
      <c r="B63" s="70"/>
      <c r="C63" s="70"/>
      <c r="D63" s="70"/>
      <c r="E63" s="70"/>
    </row>
    <row r="64">
      <c r="B64" s="70"/>
      <c r="C64" s="70"/>
      <c r="D64" s="70"/>
      <c r="E64" s="70"/>
    </row>
    <row r="65">
      <c r="B65" s="70"/>
      <c r="C65" s="70"/>
      <c r="D65" s="70"/>
      <c r="E65" s="70"/>
    </row>
    <row r="66">
      <c r="B66" s="70"/>
      <c r="C66" s="70"/>
      <c r="D66" s="70"/>
      <c r="E66" s="70"/>
    </row>
    <row r="67">
      <c r="B67" s="70"/>
      <c r="C67" s="70"/>
      <c r="D67" s="70"/>
      <c r="E67" s="70"/>
    </row>
    <row r="68">
      <c r="B68" s="70"/>
      <c r="C68" s="70"/>
      <c r="D68" s="70"/>
      <c r="E68" s="70"/>
    </row>
    <row r="69">
      <c r="B69" s="70"/>
      <c r="C69" s="70"/>
      <c r="D69" s="70"/>
      <c r="E69" s="70"/>
    </row>
    <row r="70">
      <c r="B70" s="70"/>
      <c r="C70" s="70"/>
      <c r="D70" s="70"/>
      <c r="E70" s="70"/>
    </row>
    <row r="71">
      <c r="B71" s="70"/>
      <c r="C71" s="70"/>
      <c r="D71" s="70"/>
      <c r="E71" s="70"/>
    </row>
    <row r="72">
      <c r="B72" s="70"/>
      <c r="C72" s="70"/>
      <c r="D72" s="70"/>
      <c r="E72" s="70"/>
    </row>
    <row r="73">
      <c r="B73" s="70"/>
      <c r="C73" s="70"/>
      <c r="D73" s="70"/>
      <c r="E73" s="70"/>
    </row>
    <row r="74">
      <c r="B74" s="70"/>
      <c r="C74" s="70"/>
      <c r="D74" s="70"/>
      <c r="E74" s="70"/>
    </row>
    <row r="75">
      <c r="B75" s="70"/>
      <c r="C75" s="70"/>
      <c r="D75" s="70"/>
      <c r="E75" s="70"/>
    </row>
    <row r="76">
      <c r="B76" s="70"/>
      <c r="C76" s="70"/>
      <c r="D76" s="70"/>
      <c r="E76" s="70"/>
    </row>
    <row r="77">
      <c r="B77" s="70"/>
      <c r="C77" s="70"/>
      <c r="D77" s="70"/>
      <c r="E77" s="70"/>
    </row>
    <row r="78">
      <c r="B78" s="70"/>
      <c r="C78" s="70"/>
      <c r="D78" s="70"/>
      <c r="E78" s="70"/>
    </row>
    <row r="79">
      <c r="B79" s="70"/>
      <c r="C79" s="70"/>
      <c r="D79" s="70"/>
      <c r="E79" s="70"/>
    </row>
    <row r="80">
      <c r="B80" s="70"/>
      <c r="C80" s="70"/>
      <c r="D80" s="70"/>
      <c r="E80" s="70"/>
    </row>
    <row r="81">
      <c r="B81" s="70"/>
      <c r="C81" s="70"/>
      <c r="D81" s="70"/>
      <c r="E81" s="70"/>
    </row>
    <row r="82">
      <c r="B82" s="70"/>
      <c r="C82" s="70"/>
      <c r="D82" s="70"/>
      <c r="E82" s="70"/>
    </row>
    <row r="83">
      <c r="B83" s="70"/>
      <c r="C83" s="70"/>
      <c r="D83" s="70"/>
      <c r="E83" s="70"/>
    </row>
    <row r="84">
      <c r="B84" s="70"/>
      <c r="C84" s="70"/>
      <c r="D84" s="70"/>
      <c r="E84" s="70"/>
    </row>
    <row r="85">
      <c r="B85" s="70"/>
      <c r="C85" s="70"/>
      <c r="D85" s="70"/>
      <c r="E85" s="70"/>
    </row>
    <row r="86">
      <c r="B86" s="70"/>
      <c r="C86" s="70"/>
      <c r="D86" s="70"/>
      <c r="E86" s="70"/>
    </row>
    <row r="87">
      <c r="B87" s="70"/>
      <c r="C87" s="70"/>
      <c r="D87" s="70"/>
      <c r="E87" s="70"/>
    </row>
    <row r="88">
      <c r="B88" s="70"/>
      <c r="C88" s="70"/>
      <c r="D88" s="70"/>
      <c r="E88" s="70"/>
    </row>
    <row r="89">
      <c r="B89" s="70"/>
      <c r="C89" s="70"/>
      <c r="D89" s="70"/>
      <c r="E89" s="70"/>
    </row>
    <row r="90">
      <c r="B90" s="70"/>
      <c r="C90" s="70"/>
      <c r="D90" s="70"/>
      <c r="E90" s="70"/>
    </row>
    <row r="91">
      <c r="B91" s="70"/>
      <c r="C91" s="70"/>
      <c r="D91" s="70"/>
      <c r="E91" s="70"/>
    </row>
    <row r="92">
      <c r="B92" s="70"/>
      <c r="C92" s="70"/>
      <c r="D92" s="70"/>
      <c r="E92" s="70"/>
    </row>
    <row r="93">
      <c r="B93" s="70"/>
      <c r="C93" s="70"/>
      <c r="D93" s="70"/>
      <c r="E93" s="70"/>
    </row>
    <row r="94">
      <c r="B94" s="70"/>
      <c r="C94" s="70"/>
      <c r="D94" s="70"/>
      <c r="E94" s="70"/>
    </row>
    <row r="95">
      <c r="B95" s="70"/>
      <c r="C95" s="70"/>
      <c r="D95" s="70"/>
      <c r="E95" s="70"/>
    </row>
    <row r="96">
      <c r="B96" s="70"/>
      <c r="C96" s="70"/>
      <c r="D96" s="70"/>
      <c r="E96" s="70"/>
    </row>
    <row r="97">
      <c r="B97" s="70"/>
      <c r="C97" s="70"/>
      <c r="D97" s="70"/>
      <c r="E97" s="70"/>
    </row>
    <row r="98">
      <c r="B98" s="70"/>
      <c r="C98" s="70"/>
      <c r="D98" s="70"/>
      <c r="E98" s="70"/>
    </row>
    <row r="99">
      <c r="B99" s="70"/>
      <c r="C99" s="70"/>
      <c r="D99" s="70"/>
      <c r="E99" s="70"/>
    </row>
    <row r="100">
      <c r="B100" s="70"/>
      <c r="C100" s="70"/>
      <c r="D100" s="70"/>
      <c r="E100" s="70"/>
    </row>
    <row r="101">
      <c r="B101" s="70"/>
      <c r="C101" s="70"/>
      <c r="D101" s="70"/>
      <c r="E101" s="70"/>
    </row>
    <row r="102">
      <c r="B102" s="70"/>
      <c r="C102" s="70"/>
      <c r="D102" s="70"/>
      <c r="E102" s="70"/>
    </row>
    <row r="103">
      <c r="B103" s="70"/>
      <c r="C103" s="70"/>
      <c r="D103" s="70"/>
      <c r="E103" s="70"/>
    </row>
    <row r="104">
      <c r="B104" s="70"/>
      <c r="C104" s="70"/>
      <c r="D104" s="70"/>
      <c r="E104" s="70"/>
    </row>
    <row r="105">
      <c r="B105" s="70"/>
      <c r="C105" s="70"/>
      <c r="D105" s="70"/>
      <c r="E105" s="70"/>
    </row>
    <row r="106">
      <c r="B106" s="70"/>
      <c r="C106" s="70"/>
      <c r="D106" s="70"/>
      <c r="E106" s="70"/>
    </row>
    <row r="107">
      <c r="B107" s="70"/>
      <c r="C107" s="70"/>
      <c r="D107" s="70"/>
      <c r="E107" s="70"/>
    </row>
    <row r="108">
      <c r="B108" s="70"/>
      <c r="C108" s="70"/>
      <c r="D108" s="70"/>
      <c r="E108" s="70"/>
    </row>
    <row r="109">
      <c r="B109" s="70"/>
      <c r="C109" s="70"/>
      <c r="D109" s="70"/>
      <c r="E109" s="70"/>
    </row>
    <row r="110">
      <c r="B110" s="70"/>
      <c r="C110" s="70"/>
      <c r="D110" s="70"/>
      <c r="E110" s="70"/>
    </row>
    <row r="111">
      <c r="B111" s="70"/>
      <c r="C111" s="70"/>
      <c r="D111" s="70"/>
      <c r="E111" s="70"/>
    </row>
    <row r="112">
      <c r="B112" s="70"/>
      <c r="C112" s="70"/>
      <c r="D112" s="70"/>
      <c r="E112" s="70"/>
    </row>
    <row r="113">
      <c r="B113" s="70"/>
      <c r="C113" s="70"/>
      <c r="D113" s="70"/>
      <c r="E113" s="70"/>
    </row>
    <row r="114">
      <c r="B114" s="70"/>
      <c r="C114" s="70"/>
      <c r="D114" s="70"/>
      <c r="E114" s="70"/>
    </row>
    <row r="115">
      <c r="B115" s="70"/>
      <c r="C115" s="70"/>
      <c r="D115" s="70"/>
      <c r="E115" s="70"/>
    </row>
    <row r="116">
      <c r="B116" s="70"/>
      <c r="C116" s="70"/>
      <c r="D116" s="70"/>
      <c r="E116" s="70"/>
    </row>
    <row r="117">
      <c r="B117" s="70"/>
      <c r="C117" s="70"/>
      <c r="D117" s="70"/>
      <c r="E117" s="70"/>
    </row>
    <row r="118">
      <c r="B118" s="70"/>
      <c r="C118" s="70"/>
      <c r="D118" s="70"/>
      <c r="E118" s="70"/>
    </row>
    <row r="119">
      <c r="B119" s="70"/>
      <c r="C119" s="70"/>
      <c r="D119" s="70"/>
      <c r="E119" s="70"/>
    </row>
    <row r="120">
      <c r="B120" s="70"/>
      <c r="C120" s="70"/>
      <c r="D120" s="70"/>
      <c r="E120" s="70"/>
    </row>
    <row r="121">
      <c r="B121" s="70"/>
      <c r="C121" s="70"/>
      <c r="D121" s="70"/>
      <c r="E121" s="70"/>
    </row>
    <row r="122">
      <c r="B122" s="70"/>
      <c r="C122" s="70"/>
      <c r="D122" s="70"/>
      <c r="E122" s="70"/>
    </row>
    <row r="123">
      <c r="B123" s="70"/>
      <c r="C123" s="70"/>
      <c r="D123" s="70"/>
      <c r="E123" s="70"/>
    </row>
    <row r="124">
      <c r="B124" s="70"/>
      <c r="C124" s="70"/>
      <c r="D124" s="70"/>
      <c r="E124" s="70"/>
    </row>
    <row r="125">
      <c r="B125" s="70"/>
      <c r="C125" s="70"/>
      <c r="D125" s="70"/>
      <c r="E125" s="70"/>
    </row>
    <row r="126">
      <c r="B126" s="70"/>
      <c r="C126" s="70"/>
      <c r="D126" s="70"/>
      <c r="E126" s="70"/>
    </row>
    <row r="127">
      <c r="B127" s="70"/>
      <c r="C127" s="70"/>
      <c r="D127" s="70"/>
      <c r="E127" s="70"/>
    </row>
    <row r="128">
      <c r="B128" s="70"/>
      <c r="C128" s="70"/>
      <c r="D128" s="70"/>
      <c r="E128" s="70"/>
    </row>
    <row r="129">
      <c r="B129" s="70"/>
      <c r="C129" s="70"/>
      <c r="D129" s="70"/>
      <c r="E129" s="70"/>
    </row>
    <row r="130">
      <c r="B130" s="70"/>
      <c r="C130" s="70"/>
      <c r="D130" s="70"/>
      <c r="E130" s="70"/>
    </row>
    <row r="131">
      <c r="B131" s="70"/>
      <c r="C131" s="70"/>
      <c r="D131" s="70"/>
      <c r="E131" s="70"/>
    </row>
    <row r="132">
      <c r="B132" s="70"/>
      <c r="C132" s="70"/>
      <c r="D132" s="70"/>
      <c r="E132" s="70"/>
    </row>
    <row r="133">
      <c r="B133" s="70"/>
      <c r="C133" s="70"/>
      <c r="D133" s="70"/>
      <c r="E133" s="70"/>
    </row>
    <row r="134">
      <c r="B134" s="70"/>
      <c r="C134" s="70"/>
      <c r="D134" s="70"/>
      <c r="E134" s="70"/>
    </row>
    <row r="135">
      <c r="B135" s="70"/>
      <c r="C135" s="70"/>
      <c r="D135" s="70"/>
      <c r="E135" s="70"/>
    </row>
    <row r="136">
      <c r="B136" s="70"/>
      <c r="C136" s="70"/>
      <c r="D136" s="70"/>
      <c r="E136" s="70"/>
    </row>
    <row r="137">
      <c r="B137" s="70"/>
      <c r="C137" s="70"/>
      <c r="D137" s="70"/>
      <c r="E137" s="70"/>
    </row>
    <row r="138">
      <c r="B138" s="70"/>
      <c r="C138" s="70"/>
      <c r="D138" s="70"/>
      <c r="E138" s="70"/>
    </row>
    <row r="139">
      <c r="B139" s="70"/>
      <c r="C139" s="70"/>
      <c r="D139" s="70"/>
      <c r="E139" s="70"/>
    </row>
    <row r="140">
      <c r="B140" s="70"/>
      <c r="C140" s="70"/>
      <c r="D140" s="70"/>
      <c r="E140" s="70"/>
    </row>
    <row r="141">
      <c r="B141" s="70"/>
      <c r="C141" s="70"/>
      <c r="D141" s="70"/>
      <c r="E141" s="70"/>
    </row>
    <row r="142">
      <c r="B142" s="70"/>
      <c r="C142" s="70"/>
      <c r="D142" s="70"/>
      <c r="E142" s="70"/>
    </row>
    <row r="143">
      <c r="B143" s="70"/>
      <c r="C143" s="70"/>
      <c r="D143" s="70"/>
      <c r="E143" s="70"/>
    </row>
    <row r="144">
      <c r="B144" s="70"/>
      <c r="C144" s="70"/>
      <c r="D144" s="70"/>
      <c r="E144" s="70"/>
    </row>
    <row r="145">
      <c r="B145" s="70"/>
      <c r="C145" s="70"/>
      <c r="D145" s="70"/>
      <c r="E145" s="70"/>
    </row>
    <row r="146">
      <c r="B146" s="70"/>
      <c r="C146" s="70"/>
      <c r="D146" s="70"/>
      <c r="E146" s="70"/>
    </row>
    <row r="147">
      <c r="B147" s="70"/>
      <c r="C147" s="70"/>
      <c r="D147" s="70"/>
      <c r="E147" s="70"/>
    </row>
    <row r="148">
      <c r="B148" s="70"/>
      <c r="C148" s="70"/>
      <c r="D148" s="70"/>
      <c r="E148" s="70"/>
    </row>
    <row r="149">
      <c r="B149" s="70"/>
      <c r="C149" s="70"/>
      <c r="D149" s="70"/>
      <c r="E149" s="70"/>
    </row>
    <row r="150">
      <c r="B150" s="70"/>
      <c r="C150" s="70"/>
      <c r="D150" s="70"/>
      <c r="E150" s="70"/>
    </row>
    <row r="151">
      <c r="B151" s="70"/>
      <c r="C151" s="70"/>
      <c r="D151" s="70"/>
      <c r="E151" s="70"/>
    </row>
    <row r="152">
      <c r="B152" s="70"/>
      <c r="C152" s="70"/>
      <c r="D152" s="70"/>
      <c r="E152" s="70"/>
    </row>
    <row r="153">
      <c r="B153" s="70"/>
      <c r="C153" s="70"/>
      <c r="D153" s="70"/>
      <c r="E153" s="70"/>
    </row>
    <row r="154">
      <c r="B154" s="70"/>
      <c r="C154" s="70"/>
      <c r="D154" s="70"/>
      <c r="E154" s="70"/>
    </row>
    <row r="155">
      <c r="B155" s="70"/>
      <c r="C155" s="70"/>
      <c r="D155" s="70"/>
      <c r="E155" s="70"/>
    </row>
    <row r="156">
      <c r="B156" s="70"/>
      <c r="C156" s="70"/>
      <c r="D156" s="70"/>
      <c r="E156" s="70"/>
    </row>
    <row r="157">
      <c r="B157" s="70"/>
      <c r="C157" s="70"/>
      <c r="D157" s="70"/>
      <c r="E157" s="70"/>
    </row>
    <row r="158">
      <c r="B158" s="70"/>
      <c r="C158" s="70"/>
      <c r="D158" s="70"/>
      <c r="E158" s="70"/>
    </row>
    <row r="159">
      <c r="B159" s="70"/>
      <c r="C159" s="70"/>
      <c r="D159" s="70"/>
      <c r="E159" s="70"/>
    </row>
    <row r="160">
      <c r="B160" s="70"/>
      <c r="C160" s="70"/>
      <c r="D160" s="70"/>
      <c r="E160" s="70"/>
    </row>
    <row r="161">
      <c r="B161" s="70"/>
      <c r="C161" s="70"/>
      <c r="D161" s="70"/>
      <c r="E161" s="70"/>
    </row>
    <row r="162">
      <c r="B162" s="70"/>
      <c r="C162" s="70"/>
      <c r="D162" s="70"/>
      <c r="E162" s="70"/>
    </row>
    <row r="163">
      <c r="B163" s="70"/>
      <c r="C163" s="70"/>
      <c r="D163" s="70"/>
      <c r="E163" s="70"/>
    </row>
    <row r="164">
      <c r="B164" s="70"/>
      <c r="C164" s="70"/>
      <c r="D164" s="70"/>
      <c r="E164" s="70"/>
    </row>
    <row r="165">
      <c r="B165" s="70"/>
      <c r="C165" s="70"/>
      <c r="D165" s="70"/>
      <c r="E165" s="70"/>
    </row>
    <row r="166">
      <c r="B166" s="70"/>
      <c r="C166" s="70"/>
      <c r="D166" s="70"/>
      <c r="E166" s="70"/>
    </row>
    <row r="167">
      <c r="B167" s="70"/>
      <c r="C167" s="70"/>
      <c r="D167" s="70"/>
      <c r="E167" s="70"/>
    </row>
    <row r="168">
      <c r="B168" s="70"/>
      <c r="C168" s="70"/>
      <c r="D168" s="70"/>
      <c r="E168" s="70"/>
    </row>
    <row r="169">
      <c r="B169" s="70"/>
      <c r="C169" s="70"/>
      <c r="D169" s="70"/>
      <c r="E169" s="70"/>
    </row>
    <row r="170">
      <c r="B170" s="70"/>
      <c r="C170" s="70"/>
      <c r="D170" s="70"/>
      <c r="E170" s="70"/>
    </row>
    <row r="171">
      <c r="B171" s="70"/>
      <c r="C171" s="70"/>
      <c r="D171" s="70"/>
      <c r="E171" s="70"/>
    </row>
    <row r="172">
      <c r="B172" s="70"/>
      <c r="C172" s="70"/>
      <c r="D172" s="70"/>
      <c r="E172" s="70"/>
    </row>
    <row r="173">
      <c r="B173" s="70"/>
      <c r="C173" s="70"/>
      <c r="D173" s="70"/>
      <c r="E173" s="70"/>
    </row>
    <row r="174">
      <c r="B174" s="70"/>
      <c r="C174" s="70"/>
      <c r="D174" s="70"/>
      <c r="E174" s="70"/>
    </row>
    <row r="175">
      <c r="B175" s="70"/>
      <c r="C175" s="70"/>
      <c r="D175" s="70"/>
      <c r="E175" s="70"/>
    </row>
    <row r="176">
      <c r="B176" s="70"/>
      <c r="C176" s="70"/>
      <c r="D176" s="70"/>
      <c r="E176" s="70"/>
    </row>
    <row r="177">
      <c r="B177" s="70"/>
      <c r="C177" s="70"/>
      <c r="D177" s="70"/>
      <c r="E177" s="70"/>
    </row>
    <row r="178">
      <c r="B178" s="70"/>
      <c r="C178" s="70"/>
      <c r="D178" s="70"/>
      <c r="E178" s="70"/>
    </row>
    <row r="179">
      <c r="B179" s="70"/>
      <c r="C179" s="70"/>
      <c r="D179" s="70"/>
      <c r="E179" s="70"/>
    </row>
    <row r="180">
      <c r="B180" s="70"/>
      <c r="C180" s="70"/>
      <c r="D180" s="70"/>
      <c r="E180" s="70"/>
    </row>
    <row r="181">
      <c r="B181" s="70"/>
      <c r="C181" s="70"/>
      <c r="D181" s="70"/>
      <c r="E181" s="70"/>
    </row>
    <row r="182">
      <c r="B182" s="70"/>
      <c r="C182" s="70"/>
      <c r="D182" s="70"/>
      <c r="E182" s="70"/>
    </row>
    <row r="183">
      <c r="B183" s="70"/>
      <c r="C183" s="70"/>
      <c r="D183" s="70"/>
      <c r="E183" s="70"/>
    </row>
    <row r="184">
      <c r="B184" s="70"/>
      <c r="C184" s="70"/>
      <c r="D184" s="70"/>
      <c r="E184" s="70"/>
    </row>
    <row r="185">
      <c r="B185" s="70"/>
      <c r="C185" s="70"/>
      <c r="D185" s="70"/>
      <c r="E185" s="70"/>
    </row>
    <row r="186">
      <c r="B186" s="70"/>
      <c r="C186" s="70"/>
      <c r="D186" s="70"/>
      <c r="E186" s="70"/>
    </row>
    <row r="187">
      <c r="B187" s="70"/>
      <c r="C187" s="70"/>
      <c r="D187" s="70"/>
      <c r="E187" s="70"/>
    </row>
    <row r="188">
      <c r="B188" s="70"/>
      <c r="C188" s="70"/>
      <c r="D188" s="70"/>
      <c r="E188" s="70"/>
    </row>
    <row r="189">
      <c r="B189" s="70"/>
      <c r="C189" s="70"/>
      <c r="D189" s="70"/>
      <c r="E189" s="70"/>
    </row>
    <row r="190">
      <c r="B190" s="70"/>
      <c r="C190" s="70"/>
      <c r="D190" s="70"/>
      <c r="E190" s="70"/>
    </row>
    <row r="191">
      <c r="B191" s="70"/>
      <c r="C191" s="70"/>
      <c r="D191" s="70"/>
      <c r="E191" s="70"/>
    </row>
    <row r="192">
      <c r="B192" s="70"/>
      <c r="C192" s="70"/>
      <c r="D192" s="70"/>
      <c r="E192" s="70"/>
    </row>
    <row r="193">
      <c r="B193" s="70"/>
      <c r="C193" s="70"/>
      <c r="D193" s="70"/>
      <c r="E193" s="70"/>
    </row>
    <row r="194">
      <c r="B194" s="70"/>
      <c r="C194" s="70"/>
      <c r="D194" s="70"/>
      <c r="E194" s="70"/>
    </row>
    <row r="195">
      <c r="B195" s="70"/>
      <c r="C195" s="70"/>
      <c r="D195" s="70"/>
      <c r="E195" s="70"/>
    </row>
    <row r="196">
      <c r="B196" s="70"/>
      <c r="C196" s="70"/>
      <c r="D196" s="70"/>
      <c r="E196" s="70"/>
    </row>
    <row r="197">
      <c r="B197" s="70"/>
      <c r="C197" s="70"/>
      <c r="D197" s="70"/>
      <c r="E197" s="70"/>
    </row>
    <row r="198">
      <c r="B198" s="70"/>
      <c r="C198" s="70"/>
      <c r="D198" s="70"/>
      <c r="E198" s="70"/>
    </row>
    <row r="199">
      <c r="B199" s="70"/>
      <c r="C199" s="70"/>
      <c r="D199" s="70"/>
      <c r="E199" s="70"/>
    </row>
    <row r="200">
      <c r="B200" s="70"/>
      <c r="C200" s="70"/>
      <c r="D200" s="70"/>
      <c r="E200" s="70"/>
    </row>
    <row r="201">
      <c r="B201" s="70"/>
      <c r="C201" s="70"/>
      <c r="D201" s="70"/>
      <c r="E201" s="70"/>
    </row>
    <row r="202">
      <c r="B202" s="70"/>
      <c r="C202" s="70"/>
      <c r="D202" s="70"/>
      <c r="E202" s="70"/>
    </row>
    <row r="203">
      <c r="B203" s="70"/>
      <c r="C203" s="70"/>
      <c r="D203" s="70"/>
      <c r="E203" s="70"/>
    </row>
    <row r="204">
      <c r="B204" s="70"/>
      <c r="C204" s="70"/>
      <c r="D204" s="70"/>
      <c r="E204" s="70"/>
    </row>
    <row r="205">
      <c r="B205" s="70"/>
      <c r="C205" s="70"/>
      <c r="D205" s="70"/>
      <c r="E205" s="70"/>
    </row>
    <row r="206">
      <c r="B206" s="70"/>
      <c r="C206" s="70"/>
      <c r="D206" s="70"/>
      <c r="E206" s="70"/>
    </row>
    <row r="207">
      <c r="B207" s="70"/>
      <c r="C207" s="70"/>
      <c r="D207" s="70"/>
      <c r="E207" s="70"/>
    </row>
    <row r="208">
      <c r="B208" s="70"/>
      <c r="C208" s="70"/>
      <c r="D208" s="70"/>
      <c r="E208" s="70"/>
    </row>
    <row r="209">
      <c r="B209" s="70"/>
      <c r="C209" s="70"/>
      <c r="D209" s="70"/>
      <c r="E209" s="70"/>
    </row>
    <row r="210">
      <c r="B210" s="70"/>
      <c r="C210" s="70"/>
      <c r="D210" s="70"/>
      <c r="E210" s="70"/>
    </row>
    <row r="211">
      <c r="B211" s="70"/>
      <c r="C211" s="70"/>
      <c r="D211" s="70"/>
      <c r="E211" s="70"/>
    </row>
    <row r="212">
      <c r="B212" s="70"/>
      <c r="C212" s="70"/>
      <c r="D212" s="70"/>
      <c r="E212" s="70"/>
    </row>
    <row r="213">
      <c r="B213" s="70"/>
      <c r="C213" s="70"/>
      <c r="D213" s="70"/>
      <c r="E213" s="70"/>
    </row>
    <row r="214">
      <c r="B214" s="70"/>
      <c r="C214" s="70"/>
      <c r="D214" s="70"/>
      <c r="E214" s="70"/>
    </row>
    <row r="215">
      <c r="B215" s="70"/>
      <c r="C215" s="70"/>
      <c r="D215" s="70"/>
      <c r="E215" s="70"/>
    </row>
    <row r="216">
      <c r="B216" s="70"/>
      <c r="C216" s="70"/>
      <c r="D216" s="70"/>
      <c r="E216" s="70"/>
    </row>
    <row r="217">
      <c r="B217" s="70"/>
      <c r="C217" s="70"/>
      <c r="D217" s="70"/>
      <c r="E217" s="70"/>
    </row>
    <row r="218">
      <c r="B218" s="70"/>
      <c r="C218" s="70"/>
      <c r="D218" s="70"/>
      <c r="E218" s="70"/>
    </row>
    <row r="219">
      <c r="B219" s="70"/>
      <c r="C219" s="70"/>
      <c r="D219" s="70"/>
      <c r="E219" s="70"/>
    </row>
    <row r="220">
      <c r="B220" s="70"/>
      <c r="C220" s="70"/>
      <c r="D220" s="70"/>
      <c r="E220" s="70"/>
    </row>
    <row r="221">
      <c r="B221" s="70"/>
      <c r="C221" s="70"/>
      <c r="D221" s="70"/>
      <c r="E221" s="70"/>
    </row>
    <row r="222">
      <c r="B222" s="70"/>
      <c r="C222" s="70"/>
      <c r="D222" s="70"/>
      <c r="E222" s="70"/>
    </row>
    <row r="223">
      <c r="B223" s="70"/>
      <c r="C223" s="70"/>
      <c r="D223" s="70"/>
      <c r="E223" s="70"/>
    </row>
    <row r="224">
      <c r="B224" s="70"/>
      <c r="C224" s="70"/>
      <c r="D224" s="70"/>
      <c r="E224" s="70"/>
    </row>
    <row r="225">
      <c r="B225" s="70"/>
      <c r="C225" s="70"/>
      <c r="D225" s="70"/>
      <c r="E225" s="70"/>
    </row>
    <row r="226">
      <c r="B226" s="70"/>
      <c r="C226" s="70"/>
      <c r="D226" s="70"/>
      <c r="E226" s="70"/>
    </row>
    <row r="227">
      <c r="B227" s="70"/>
      <c r="C227" s="70"/>
      <c r="D227" s="70"/>
      <c r="E227" s="70"/>
    </row>
    <row r="228">
      <c r="B228" s="70"/>
      <c r="C228" s="70"/>
      <c r="D228" s="70"/>
      <c r="E228" s="70"/>
    </row>
    <row r="229">
      <c r="B229" s="70"/>
      <c r="C229" s="70"/>
      <c r="D229" s="70"/>
      <c r="E229" s="70"/>
    </row>
    <row r="230">
      <c r="B230" s="70"/>
      <c r="C230" s="70"/>
      <c r="D230" s="70"/>
      <c r="E230" s="70"/>
    </row>
    <row r="231">
      <c r="B231" s="70"/>
      <c r="C231" s="70"/>
      <c r="D231" s="70"/>
      <c r="E231" s="70"/>
    </row>
    <row r="232">
      <c r="B232" s="70"/>
      <c r="C232" s="70"/>
      <c r="D232" s="70"/>
      <c r="E232" s="70"/>
    </row>
    <row r="233">
      <c r="B233" s="70"/>
      <c r="C233" s="70"/>
      <c r="D233" s="70"/>
      <c r="E233" s="70"/>
    </row>
    <row r="234">
      <c r="B234" s="70"/>
      <c r="C234" s="70"/>
      <c r="D234" s="70"/>
      <c r="E234" s="70"/>
    </row>
    <row r="235">
      <c r="B235" s="70"/>
      <c r="C235" s="70"/>
      <c r="D235" s="70"/>
      <c r="E235" s="70"/>
    </row>
    <row r="236">
      <c r="B236" s="70"/>
      <c r="C236" s="70"/>
      <c r="D236" s="70"/>
      <c r="E236" s="70"/>
    </row>
    <row r="237">
      <c r="B237" s="70"/>
      <c r="C237" s="70"/>
      <c r="D237" s="70"/>
      <c r="E237" s="70"/>
    </row>
    <row r="238">
      <c r="B238" s="70"/>
      <c r="C238" s="70"/>
      <c r="D238" s="70"/>
      <c r="E238" s="70"/>
    </row>
    <row r="239">
      <c r="B239" s="70"/>
      <c r="C239" s="70"/>
      <c r="D239" s="70"/>
      <c r="E239" s="70"/>
    </row>
    <row r="240">
      <c r="B240" s="70"/>
      <c r="C240" s="70"/>
      <c r="D240" s="70"/>
      <c r="E240" s="70"/>
    </row>
    <row r="241">
      <c r="B241" s="70"/>
      <c r="C241" s="70"/>
      <c r="D241" s="70"/>
      <c r="E241" s="70"/>
    </row>
    <row r="242">
      <c r="B242" s="70"/>
      <c r="C242" s="70"/>
      <c r="D242" s="70"/>
      <c r="E242" s="70"/>
    </row>
    <row r="243">
      <c r="B243" s="70"/>
      <c r="C243" s="70"/>
      <c r="D243" s="70"/>
      <c r="E243" s="70"/>
    </row>
    <row r="244">
      <c r="B244" s="70"/>
      <c r="C244" s="70"/>
      <c r="D244" s="70"/>
      <c r="E244" s="70"/>
    </row>
    <row r="245">
      <c r="B245" s="70"/>
      <c r="C245" s="70"/>
      <c r="D245" s="70"/>
      <c r="E245" s="70"/>
    </row>
    <row r="246">
      <c r="B246" s="70"/>
      <c r="C246" s="70"/>
      <c r="D246" s="70"/>
      <c r="E246" s="70"/>
    </row>
    <row r="247">
      <c r="B247" s="70"/>
      <c r="C247" s="70"/>
      <c r="D247" s="70"/>
      <c r="E247" s="70"/>
    </row>
    <row r="248">
      <c r="B248" s="70"/>
      <c r="C248" s="70"/>
      <c r="D248" s="70"/>
      <c r="E248" s="70"/>
    </row>
    <row r="249">
      <c r="B249" s="70"/>
      <c r="C249" s="70"/>
      <c r="D249" s="70"/>
      <c r="E249" s="70"/>
    </row>
    <row r="250">
      <c r="B250" s="70"/>
      <c r="C250" s="70"/>
      <c r="D250" s="70"/>
      <c r="E250" s="70"/>
    </row>
    <row r="251">
      <c r="B251" s="70"/>
      <c r="C251" s="70"/>
      <c r="D251" s="70"/>
      <c r="E251" s="70"/>
    </row>
    <row r="252">
      <c r="B252" s="70"/>
      <c r="C252" s="70"/>
      <c r="D252" s="70"/>
      <c r="E252" s="70"/>
    </row>
    <row r="253">
      <c r="B253" s="70"/>
      <c r="C253" s="70"/>
      <c r="D253" s="70"/>
      <c r="E253" s="70"/>
    </row>
    <row r="254">
      <c r="B254" s="70"/>
      <c r="C254" s="70"/>
      <c r="D254" s="70"/>
      <c r="E254" s="70"/>
    </row>
    <row r="255">
      <c r="B255" s="70"/>
      <c r="C255" s="70"/>
      <c r="D255" s="70"/>
      <c r="E255" s="70"/>
    </row>
    <row r="256">
      <c r="B256" s="70"/>
      <c r="C256" s="70"/>
      <c r="D256" s="70"/>
      <c r="E256" s="70"/>
    </row>
    <row r="257">
      <c r="B257" s="70"/>
      <c r="C257" s="70"/>
      <c r="D257" s="70"/>
      <c r="E257" s="70"/>
    </row>
    <row r="258">
      <c r="B258" s="70"/>
      <c r="C258" s="70"/>
      <c r="D258" s="70"/>
      <c r="E258" s="70"/>
    </row>
    <row r="259">
      <c r="B259" s="70"/>
      <c r="C259" s="70"/>
      <c r="D259" s="70"/>
      <c r="E259" s="70"/>
    </row>
    <row r="260">
      <c r="B260" s="70"/>
      <c r="C260" s="70"/>
      <c r="D260" s="70"/>
      <c r="E260" s="70"/>
    </row>
    <row r="261">
      <c r="B261" s="70"/>
      <c r="C261" s="70"/>
      <c r="D261" s="70"/>
      <c r="E261" s="70"/>
    </row>
    <row r="262">
      <c r="B262" s="70"/>
      <c r="C262" s="70"/>
      <c r="D262" s="70"/>
      <c r="E262" s="70"/>
    </row>
    <row r="263">
      <c r="B263" s="70"/>
      <c r="C263" s="70"/>
      <c r="D263" s="70"/>
      <c r="E263" s="70"/>
    </row>
    <row r="264">
      <c r="B264" s="70"/>
      <c r="C264" s="70"/>
      <c r="D264" s="70"/>
      <c r="E264" s="70"/>
    </row>
    <row r="265">
      <c r="B265" s="70"/>
      <c r="C265" s="70"/>
      <c r="D265" s="70"/>
      <c r="E265" s="70"/>
    </row>
    <row r="266">
      <c r="B266" s="70"/>
      <c r="C266" s="70"/>
      <c r="D266" s="70"/>
      <c r="E266" s="70"/>
    </row>
    <row r="267">
      <c r="B267" s="70"/>
      <c r="C267" s="70"/>
      <c r="D267" s="70"/>
      <c r="E267" s="70"/>
    </row>
    <row r="268">
      <c r="B268" s="70"/>
      <c r="C268" s="70"/>
      <c r="D268" s="70"/>
      <c r="E268" s="70"/>
    </row>
    <row r="269">
      <c r="B269" s="70"/>
      <c r="C269" s="70"/>
      <c r="D269" s="70"/>
      <c r="E269" s="70"/>
    </row>
    <row r="270">
      <c r="B270" s="70"/>
      <c r="C270" s="70"/>
      <c r="D270" s="70"/>
      <c r="E270" s="70"/>
    </row>
    <row r="271">
      <c r="B271" s="70"/>
      <c r="C271" s="70"/>
      <c r="D271" s="70"/>
      <c r="E271" s="70"/>
    </row>
    <row r="272">
      <c r="B272" s="70"/>
      <c r="C272" s="70"/>
      <c r="D272" s="70"/>
      <c r="E272" s="70"/>
    </row>
    <row r="273">
      <c r="B273" s="70"/>
      <c r="C273" s="70"/>
      <c r="D273" s="70"/>
      <c r="E273" s="70"/>
    </row>
    <row r="274">
      <c r="B274" s="70"/>
      <c r="C274" s="70"/>
      <c r="D274" s="70"/>
      <c r="E274" s="70"/>
    </row>
    <row r="275">
      <c r="B275" s="70"/>
      <c r="C275" s="70"/>
      <c r="D275" s="70"/>
      <c r="E275" s="70"/>
    </row>
    <row r="276">
      <c r="B276" s="70"/>
      <c r="C276" s="70"/>
      <c r="D276" s="70"/>
      <c r="E276" s="70"/>
    </row>
    <row r="277">
      <c r="B277" s="70"/>
      <c r="C277" s="70"/>
      <c r="D277" s="70"/>
      <c r="E277" s="70"/>
    </row>
    <row r="278">
      <c r="B278" s="70"/>
      <c r="C278" s="70"/>
      <c r="D278" s="70"/>
      <c r="E278" s="70"/>
    </row>
    <row r="279">
      <c r="B279" s="70"/>
      <c r="C279" s="70"/>
      <c r="D279" s="70"/>
      <c r="E279" s="70"/>
    </row>
    <row r="280">
      <c r="B280" s="70"/>
      <c r="C280" s="70"/>
      <c r="D280" s="70"/>
      <c r="E280" s="70"/>
    </row>
    <row r="281">
      <c r="B281" s="70"/>
      <c r="C281" s="70"/>
      <c r="D281" s="70"/>
      <c r="E281" s="70"/>
    </row>
    <row r="282">
      <c r="B282" s="70"/>
      <c r="C282" s="70"/>
      <c r="D282" s="70"/>
      <c r="E282" s="70"/>
    </row>
    <row r="283">
      <c r="B283" s="70"/>
      <c r="C283" s="70"/>
      <c r="D283" s="70"/>
      <c r="E283" s="70"/>
    </row>
    <row r="284">
      <c r="B284" s="70"/>
      <c r="C284" s="70"/>
      <c r="D284" s="70"/>
      <c r="E284" s="70"/>
    </row>
    <row r="285">
      <c r="B285" s="70"/>
      <c r="C285" s="70"/>
      <c r="D285" s="70"/>
      <c r="E285" s="70"/>
    </row>
    <row r="286">
      <c r="B286" s="70"/>
      <c r="C286" s="70"/>
      <c r="D286" s="70"/>
      <c r="E286" s="70"/>
    </row>
    <row r="287">
      <c r="B287" s="70"/>
      <c r="C287" s="70"/>
      <c r="D287" s="70"/>
      <c r="E287" s="70"/>
    </row>
    <row r="288">
      <c r="B288" s="70"/>
      <c r="C288" s="70"/>
      <c r="D288" s="70"/>
      <c r="E288" s="70"/>
    </row>
    <row r="289">
      <c r="B289" s="70"/>
      <c r="C289" s="70"/>
      <c r="D289" s="70"/>
      <c r="E289" s="70"/>
    </row>
    <row r="290">
      <c r="B290" s="70"/>
      <c r="C290" s="70"/>
      <c r="D290" s="70"/>
      <c r="E290" s="70"/>
    </row>
    <row r="291">
      <c r="B291" s="70"/>
      <c r="C291" s="70"/>
      <c r="D291" s="70"/>
      <c r="E291" s="70"/>
    </row>
    <row r="292">
      <c r="B292" s="70"/>
      <c r="C292" s="70"/>
      <c r="D292" s="70"/>
      <c r="E292" s="70"/>
    </row>
    <row r="293">
      <c r="B293" s="70"/>
      <c r="C293" s="70"/>
      <c r="D293" s="70"/>
      <c r="E293" s="70"/>
    </row>
    <row r="294">
      <c r="B294" s="70"/>
      <c r="C294" s="70"/>
      <c r="D294" s="70"/>
      <c r="E294" s="70"/>
    </row>
    <row r="295">
      <c r="B295" s="70"/>
      <c r="C295" s="70"/>
      <c r="D295" s="70"/>
      <c r="E295" s="70"/>
    </row>
    <row r="296">
      <c r="B296" s="70"/>
      <c r="C296" s="70"/>
      <c r="D296" s="70"/>
      <c r="E296" s="70"/>
    </row>
    <row r="297">
      <c r="B297" s="70"/>
      <c r="C297" s="70"/>
      <c r="D297" s="70"/>
      <c r="E297" s="70"/>
    </row>
    <row r="298">
      <c r="B298" s="70"/>
      <c r="C298" s="70"/>
      <c r="D298" s="70"/>
      <c r="E298" s="70"/>
    </row>
    <row r="299">
      <c r="B299" s="70"/>
      <c r="C299" s="70"/>
      <c r="D299" s="70"/>
      <c r="E299" s="70"/>
    </row>
    <row r="300">
      <c r="B300" s="70"/>
      <c r="C300" s="70"/>
      <c r="D300" s="70"/>
      <c r="E300" s="70"/>
    </row>
    <row r="301">
      <c r="B301" s="70"/>
      <c r="C301" s="70"/>
      <c r="D301" s="70"/>
      <c r="E301" s="70"/>
    </row>
    <row r="302">
      <c r="B302" s="70"/>
      <c r="C302" s="70"/>
      <c r="D302" s="70"/>
      <c r="E302" s="70"/>
    </row>
    <row r="303">
      <c r="B303" s="70"/>
      <c r="C303" s="70"/>
      <c r="D303" s="70"/>
      <c r="E303" s="70"/>
    </row>
    <row r="304">
      <c r="B304" s="70"/>
      <c r="C304" s="70"/>
      <c r="D304" s="70"/>
      <c r="E304" s="70"/>
    </row>
    <row r="305">
      <c r="B305" s="70"/>
      <c r="C305" s="70"/>
      <c r="D305" s="70"/>
      <c r="E305" s="70"/>
    </row>
    <row r="306">
      <c r="B306" s="70"/>
      <c r="C306" s="70"/>
      <c r="D306" s="70"/>
      <c r="E306" s="70"/>
    </row>
    <row r="307">
      <c r="B307" s="70"/>
      <c r="C307" s="70"/>
      <c r="D307" s="70"/>
      <c r="E307" s="70"/>
    </row>
    <row r="308">
      <c r="B308" s="70"/>
      <c r="C308" s="70"/>
      <c r="D308" s="70"/>
      <c r="E308" s="70"/>
    </row>
    <row r="309">
      <c r="B309" s="70"/>
      <c r="C309" s="70"/>
      <c r="D309" s="70"/>
      <c r="E309" s="70"/>
    </row>
    <row r="310">
      <c r="B310" s="70"/>
      <c r="C310" s="70"/>
      <c r="D310" s="70"/>
      <c r="E310" s="70"/>
    </row>
    <row r="311">
      <c r="B311" s="70"/>
      <c r="C311" s="70"/>
      <c r="D311" s="70"/>
      <c r="E311" s="70"/>
    </row>
    <row r="312">
      <c r="B312" s="70"/>
      <c r="C312" s="70"/>
      <c r="D312" s="70"/>
      <c r="E312" s="70"/>
    </row>
    <row r="313">
      <c r="B313" s="70"/>
      <c r="C313" s="70"/>
      <c r="D313" s="70"/>
      <c r="E313" s="70"/>
    </row>
    <row r="314">
      <c r="B314" s="70"/>
      <c r="C314" s="70"/>
      <c r="D314" s="70"/>
      <c r="E314" s="70"/>
    </row>
    <row r="315">
      <c r="B315" s="70"/>
      <c r="C315" s="70"/>
      <c r="D315" s="70"/>
      <c r="E315" s="70"/>
    </row>
    <row r="316">
      <c r="B316" s="70"/>
      <c r="C316" s="70"/>
      <c r="D316" s="70"/>
      <c r="E316" s="70"/>
    </row>
    <row r="317">
      <c r="B317" s="70"/>
      <c r="C317" s="70"/>
      <c r="D317" s="70"/>
      <c r="E317" s="70"/>
    </row>
    <row r="318">
      <c r="B318" s="70"/>
      <c r="C318" s="70"/>
      <c r="D318" s="70"/>
      <c r="E318" s="70"/>
    </row>
    <row r="319">
      <c r="B319" s="70"/>
      <c r="C319" s="70"/>
      <c r="D319" s="70"/>
      <c r="E319" s="70"/>
    </row>
    <row r="320">
      <c r="B320" s="70"/>
      <c r="C320" s="70"/>
      <c r="D320" s="70"/>
      <c r="E320" s="70"/>
    </row>
    <row r="321">
      <c r="B321" s="70"/>
      <c r="C321" s="70"/>
      <c r="D321" s="70"/>
      <c r="E321" s="70"/>
    </row>
    <row r="322">
      <c r="B322" s="70"/>
      <c r="C322" s="70"/>
      <c r="D322" s="70"/>
      <c r="E322" s="70"/>
    </row>
    <row r="323">
      <c r="B323" s="70"/>
      <c r="C323" s="70"/>
      <c r="D323" s="70"/>
      <c r="E323" s="70"/>
    </row>
    <row r="324">
      <c r="B324" s="70"/>
      <c r="C324" s="70"/>
      <c r="D324" s="70"/>
      <c r="E324" s="70"/>
    </row>
    <row r="325">
      <c r="B325" s="70"/>
      <c r="C325" s="70"/>
      <c r="D325" s="70"/>
      <c r="E325" s="70"/>
    </row>
    <row r="326">
      <c r="B326" s="70"/>
      <c r="C326" s="70"/>
      <c r="D326" s="70"/>
      <c r="E326" s="70"/>
    </row>
    <row r="327">
      <c r="B327" s="70"/>
      <c r="C327" s="70"/>
      <c r="D327" s="70"/>
      <c r="E327" s="70"/>
    </row>
    <row r="328">
      <c r="B328" s="70"/>
      <c r="C328" s="70"/>
      <c r="D328" s="70"/>
      <c r="E328" s="70"/>
    </row>
    <row r="329">
      <c r="B329" s="70"/>
      <c r="C329" s="70"/>
      <c r="D329" s="70"/>
      <c r="E329" s="70"/>
    </row>
    <row r="330">
      <c r="B330" s="70"/>
      <c r="C330" s="70"/>
      <c r="D330" s="70"/>
      <c r="E330" s="70"/>
    </row>
    <row r="331">
      <c r="B331" s="70"/>
      <c r="C331" s="70"/>
      <c r="D331" s="70"/>
      <c r="E331" s="70"/>
    </row>
    <row r="332">
      <c r="B332" s="70"/>
      <c r="C332" s="70"/>
      <c r="D332" s="70"/>
      <c r="E332" s="70"/>
    </row>
    <row r="333">
      <c r="B333" s="70"/>
      <c r="C333" s="70"/>
      <c r="D333" s="70"/>
      <c r="E333" s="70"/>
    </row>
    <row r="334">
      <c r="B334" s="70"/>
      <c r="C334" s="70"/>
      <c r="D334" s="70"/>
      <c r="E334" s="70"/>
    </row>
    <row r="335">
      <c r="B335" s="70"/>
      <c r="C335" s="70"/>
      <c r="D335" s="70"/>
      <c r="E335" s="70"/>
    </row>
    <row r="336">
      <c r="B336" s="70"/>
      <c r="C336" s="70"/>
      <c r="D336" s="70"/>
      <c r="E336" s="70"/>
    </row>
    <row r="337">
      <c r="B337" s="70"/>
      <c r="C337" s="70"/>
      <c r="D337" s="70"/>
      <c r="E337" s="70"/>
    </row>
    <row r="338">
      <c r="B338" s="70"/>
      <c r="C338" s="70"/>
      <c r="D338" s="70"/>
      <c r="E338" s="70"/>
    </row>
    <row r="339">
      <c r="B339" s="70"/>
      <c r="C339" s="70"/>
      <c r="D339" s="70"/>
      <c r="E339" s="70"/>
    </row>
    <row r="340">
      <c r="B340" s="70"/>
      <c r="C340" s="70"/>
      <c r="D340" s="70"/>
      <c r="E340" s="70"/>
    </row>
    <row r="341">
      <c r="B341" s="70"/>
      <c r="C341" s="70"/>
      <c r="D341" s="70"/>
      <c r="E341" s="70"/>
    </row>
    <row r="342">
      <c r="B342" s="70"/>
      <c r="C342" s="70"/>
      <c r="D342" s="70"/>
      <c r="E342" s="70"/>
    </row>
    <row r="343">
      <c r="B343" s="70"/>
      <c r="C343" s="70"/>
      <c r="D343" s="70"/>
      <c r="E343" s="70"/>
    </row>
    <row r="344">
      <c r="B344" s="70"/>
      <c r="C344" s="70"/>
      <c r="D344" s="70"/>
      <c r="E344" s="70"/>
    </row>
    <row r="345">
      <c r="B345" s="70"/>
      <c r="C345" s="70"/>
      <c r="D345" s="70"/>
      <c r="E345" s="70"/>
    </row>
    <row r="346">
      <c r="B346" s="70"/>
      <c r="C346" s="70"/>
      <c r="D346" s="70"/>
      <c r="E346" s="70"/>
    </row>
    <row r="347">
      <c r="B347" s="70"/>
      <c r="C347" s="70"/>
      <c r="D347" s="70"/>
      <c r="E347" s="70"/>
    </row>
    <row r="348">
      <c r="B348" s="70"/>
      <c r="C348" s="70"/>
      <c r="D348" s="70"/>
      <c r="E348" s="70"/>
    </row>
    <row r="349">
      <c r="B349" s="70"/>
      <c r="C349" s="70"/>
      <c r="D349" s="70"/>
      <c r="E349" s="70"/>
    </row>
    <row r="350">
      <c r="B350" s="70"/>
      <c r="C350" s="70"/>
      <c r="D350" s="70"/>
      <c r="E350" s="70"/>
    </row>
    <row r="351">
      <c r="B351" s="70"/>
      <c r="C351" s="70"/>
      <c r="D351" s="70"/>
      <c r="E351" s="70"/>
    </row>
    <row r="352">
      <c r="B352" s="70"/>
      <c r="C352" s="70"/>
      <c r="D352" s="70"/>
      <c r="E352" s="70"/>
    </row>
    <row r="353">
      <c r="B353" s="70"/>
      <c r="C353" s="70"/>
      <c r="D353" s="70"/>
      <c r="E353" s="70"/>
    </row>
    <row r="354">
      <c r="B354" s="70"/>
      <c r="C354" s="70"/>
      <c r="D354" s="70"/>
      <c r="E354" s="70"/>
    </row>
    <row r="355">
      <c r="B355" s="70"/>
      <c r="C355" s="70"/>
      <c r="D355" s="70"/>
      <c r="E355" s="70"/>
    </row>
    <row r="356">
      <c r="B356" s="70"/>
      <c r="C356" s="70"/>
      <c r="D356" s="70"/>
      <c r="E356" s="70"/>
    </row>
    <row r="357">
      <c r="B357" s="70"/>
      <c r="C357" s="70"/>
      <c r="D357" s="70"/>
      <c r="E357" s="70"/>
    </row>
    <row r="358">
      <c r="B358" s="70"/>
      <c r="C358" s="70"/>
      <c r="D358" s="70"/>
      <c r="E358" s="70"/>
    </row>
    <row r="359">
      <c r="B359" s="70"/>
      <c r="C359" s="70"/>
      <c r="D359" s="70"/>
      <c r="E359" s="70"/>
    </row>
    <row r="360">
      <c r="B360" s="70"/>
      <c r="C360" s="70"/>
      <c r="D360" s="70"/>
      <c r="E360" s="70"/>
    </row>
    <row r="361">
      <c r="B361" s="70"/>
      <c r="C361" s="70"/>
      <c r="D361" s="70"/>
      <c r="E361" s="70"/>
    </row>
    <row r="362">
      <c r="B362" s="70"/>
      <c r="C362" s="70"/>
      <c r="D362" s="70"/>
      <c r="E362" s="70"/>
    </row>
    <row r="363">
      <c r="B363" s="70"/>
      <c r="C363" s="70"/>
      <c r="D363" s="70"/>
      <c r="E363" s="70"/>
    </row>
    <row r="364">
      <c r="B364" s="70"/>
      <c r="C364" s="70"/>
      <c r="D364" s="70"/>
      <c r="E364" s="70"/>
    </row>
    <row r="365">
      <c r="B365" s="70"/>
      <c r="C365" s="70"/>
      <c r="D365" s="70"/>
      <c r="E365" s="70"/>
    </row>
    <row r="366">
      <c r="B366" s="70"/>
      <c r="C366" s="70"/>
      <c r="D366" s="70"/>
      <c r="E366" s="70"/>
    </row>
    <row r="367">
      <c r="B367" s="70"/>
      <c r="C367" s="70"/>
      <c r="D367" s="70"/>
      <c r="E367" s="70"/>
    </row>
    <row r="368">
      <c r="B368" s="70"/>
      <c r="C368" s="70"/>
      <c r="D368" s="70"/>
      <c r="E368" s="70"/>
    </row>
    <row r="369">
      <c r="B369" s="70"/>
      <c r="C369" s="70"/>
      <c r="D369" s="70"/>
      <c r="E369" s="70"/>
    </row>
    <row r="370">
      <c r="B370" s="70"/>
      <c r="C370" s="70"/>
      <c r="D370" s="70"/>
      <c r="E370" s="70"/>
    </row>
    <row r="371">
      <c r="B371" s="70"/>
      <c r="C371" s="70"/>
      <c r="D371" s="70"/>
      <c r="E371" s="70"/>
    </row>
    <row r="372">
      <c r="B372" s="70"/>
      <c r="C372" s="70"/>
      <c r="D372" s="70"/>
      <c r="E372" s="70"/>
    </row>
    <row r="373">
      <c r="B373" s="70"/>
      <c r="C373" s="70"/>
      <c r="D373" s="70"/>
      <c r="E373" s="70"/>
    </row>
    <row r="374">
      <c r="B374" s="70"/>
      <c r="C374" s="70"/>
      <c r="D374" s="70"/>
      <c r="E374" s="70"/>
    </row>
    <row r="375">
      <c r="B375" s="70"/>
      <c r="C375" s="70"/>
      <c r="D375" s="70"/>
      <c r="E375" s="70"/>
    </row>
    <row r="376">
      <c r="B376" s="70"/>
      <c r="C376" s="70"/>
      <c r="D376" s="70"/>
      <c r="E376" s="70"/>
    </row>
    <row r="377">
      <c r="B377" s="70"/>
      <c r="C377" s="70"/>
      <c r="D377" s="70"/>
      <c r="E377" s="70"/>
    </row>
    <row r="378">
      <c r="B378" s="70"/>
      <c r="C378" s="70"/>
      <c r="D378" s="70"/>
      <c r="E378" s="70"/>
    </row>
    <row r="379">
      <c r="B379" s="70"/>
      <c r="C379" s="70"/>
      <c r="D379" s="70"/>
      <c r="E379" s="70"/>
    </row>
    <row r="380">
      <c r="B380" s="70"/>
      <c r="C380" s="70"/>
      <c r="D380" s="70"/>
      <c r="E380" s="70"/>
    </row>
    <row r="381">
      <c r="B381" s="70"/>
      <c r="C381" s="70"/>
      <c r="D381" s="70"/>
      <c r="E381" s="70"/>
    </row>
    <row r="382">
      <c r="B382" s="70"/>
      <c r="C382" s="70"/>
      <c r="D382" s="70"/>
      <c r="E382" s="70"/>
    </row>
    <row r="383">
      <c r="B383" s="70"/>
      <c r="C383" s="70"/>
      <c r="D383" s="70"/>
      <c r="E383" s="70"/>
    </row>
    <row r="384">
      <c r="B384" s="70"/>
      <c r="C384" s="70"/>
      <c r="D384" s="70"/>
      <c r="E384" s="70"/>
    </row>
    <row r="385">
      <c r="B385" s="70"/>
      <c r="C385" s="70"/>
      <c r="D385" s="70"/>
      <c r="E385" s="70"/>
    </row>
    <row r="386">
      <c r="B386" s="70"/>
      <c r="C386" s="70"/>
      <c r="D386" s="70"/>
      <c r="E386" s="70"/>
    </row>
    <row r="387">
      <c r="B387" s="70"/>
      <c r="C387" s="70"/>
      <c r="D387" s="70"/>
      <c r="E387" s="70"/>
    </row>
    <row r="388">
      <c r="B388" s="70"/>
      <c r="C388" s="70"/>
      <c r="D388" s="70"/>
      <c r="E388" s="70"/>
    </row>
    <row r="389">
      <c r="B389" s="70"/>
      <c r="C389" s="70"/>
      <c r="D389" s="70"/>
      <c r="E389" s="70"/>
    </row>
    <row r="390">
      <c r="B390" s="70"/>
      <c r="C390" s="70"/>
      <c r="D390" s="70"/>
      <c r="E390" s="70"/>
    </row>
    <row r="391">
      <c r="B391" s="70"/>
      <c r="C391" s="70"/>
      <c r="D391" s="70"/>
      <c r="E391" s="70"/>
    </row>
    <row r="392">
      <c r="B392" s="70"/>
      <c r="C392" s="70"/>
      <c r="D392" s="70"/>
      <c r="E392" s="70"/>
    </row>
    <row r="393">
      <c r="B393" s="70"/>
      <c r="C393" s="70"/>
      <c r="D393" s="70"/>
      <c r="E393" s="70"/>
    </row>
    <row r="394">
      <c r="B394" s="70"/>
      <c r="C394" s="70"/>
      <c r="D394" s="70"/>
      <c r="E394" s="70"/>
    </row>
    <row r="395">
      <c r="B395" s="70"/>
      <c r="C395" s="70"/>
      <c r="D395" s="70"/>
      <c r="E395" s="70"/>
    </row>
    <row r="396">
      <c r="B396" s="70"/>
      <c r="C396" s="70"/>
      <c r="D396" s="70"/>
      <c r="E396" s="70"/>
    </row>
    <row r="397">
      <c r="B397" s="70"/>
      <c r="C397" s="70"/>
      <c r="D397" s="70"/>
      <c r="E397" s="70"/>
    </row>
    <row r="398">
      <c r="B398" s="70"/>
      <c r="C398" s="70"/>
      <c r="D398" s="70"/>
      <c r="E398" s="70"/>
    </row>
    <row r="399">
      <c r="B399" s="70"/>
      <c r="C399" s="70"/>
      <c r="D399" s="70"/>
      <c r="E399" s="70"/>
    </row>
    <row r="400">
      <c r="B400" s="70"/>
      <c r="C400" s="70"/>
      <c r="D400" s="70"/>
      <c r="E400" s="70"/>
    </row>
    <row r="401">
      <c r="B401" s="70"/>
      <c r="C401" s="70"/>
      <c r="D401" s="70"/>
      <c r="E401" s="70"/>
    </row>
    <row r="402">
      <c r="B402" s="70"/>
      <c r="C402" s="70"/>
      <c r="D402" s="70"/>
      <c r="E402" s="70"/>
    </row>
    <row r="403">
      <c r="B403" s="70"/>
      <c r="C403" s="70"/>
      <c r="D403" s="70"/>
      <c r="E403" s="70"/>
    </row>
    <row r="404">
      <c r="B404" s="70"/>
      <c r="C404" s="70"/>
      <c r="D404" s="70"/>
      <c r="E404" s="70"/>
    </row>
    <row r="405">
      <c r="B405" s="70"/>
      <c r="C405" s="70"/>
      <c r="D405" s="70"/>
      <c r="E405" s="70"/>
    </row>
    <row r="406">
      <c r="B406" s="70"/>
      <c r="C406" s="70"/>
      <c r="D406" s="70"/>
      <c r="E406" s="70"/>
    </row>
    <row r="407">
      <c r="B407" s="70"/>
      <c r="C407" s="70"/>
      <c r="D407" s="70"/>
      <c r="E407" s="70"/>
    </row>
    <row r="408">
      <c r="B408" s="70"/>
      <c r="C408" s="70"/>
      <c r="D408" s="70"/>
      <c r="E408" s="70"/>
    </row>
    <row r="409">
      <c r="B409" s="70"/>
      <c r="C409" s="70"/>
      <c r="D409" s="70"/>
      <c r="E409" s="70"/>
    </row>
    <row r="410">
      <c r="B410" s="70"/>
      <c r="C410" s="70"/>
      <c r="D410" s="70"/>
      <c r="E410" s="70"/>
    </row>
    <row r="411">
      <c r="B411" s="70"/>
      <c r="C411" s="70"/>
      <c r="D411" s="70"/>
      <c r="E411" s="70"/>
    </row>
    <row r="412">
      <c r="B412" s="70"/>
      <c r="C412" s="70"/>
      <c r="D412" s="70"/>
      <c r="E412" s="70"/>
    </row>
    <row r="413">
      <c r="B413" s="70"/>
      <c r="C413" s="70"/>
      <c r="D413" s="70"/>
      <c r="E413" s="70"/>
    </row>
    <row r="414">
      <c r="B414" s="70"/>
      <c r="C414" s="70"/>
      <c r="D414" s="70"/>
      <c r="E414" s="70"/>
    </row>
    <row r="415">
      <c r="B415" s="70"/>
      <c r="C415" s="70"/>
      <c r="D415" s="70"/>
      <c r="E415" s="70"/>
    </row>
    <row r="416">
      <c r="B416" s="70"/>
      <c r="C416" s="70"/>
      <c r="D416" s="70"/>
      <c r="E416" s="70"/>
    </row>
    <row r="417">
      <c r="B417" s="70"/>
      <c r="C417" s="70"/>
      <c r="D417" s="70"/>
      <c r="E417" s="70"/>
    </row>
    <row r="418">
      <c r="B418" s="70"/>
      <c r="C418" s="70"/>
      <c r="D418" s="70"/>
      <c r="E418" s="70"/>
    </row>
    <row r="419">
      <c r="B419" s="70"/>
      <c r="C419" s="70"/>
      <c r="D419" s="70"/>
      <c r="E419" s="70"/>
    </row>
    <row r="420">
      <c r="B420" s="70"/>
      <c r="C420" s="70"/>
      <c r="D420" s="70"/>
      <c r="E420" s="70"/>
    </row>
    <row r="421">
      <c r="B421" s="70"/>
      <c r="C421" s="70"/>
      <c r="D421" s="70"/>
      <c r="E421" s="70"/>
    </row>
    <row r="422">
      <c r="B422" s="70"/>
      <c r="C422" s="70"/>
      <c r="D422" s="70"/>
      <c r="E422" s="70"/>
    </row>
    <row r="423">
      <c r="B423" s="70"/>
      <c r="C423" s="70"/>
      <c r="D423" s="70"/>
      <c r="E423" s="70"/>
    </row>
    <row r="424">
      <c r="B424" s="70"/>
      <c r="C424" s="70"/>
      <c r="D424" s="70"/>
      <c r="E424" s="70"/>
    </row>
    <row r="425">
      <c r="B425" s="70"/>
      <c r="C425" s="70"/>
      <c r="D425" s="70"/>
      <c r="E425" s="70"/>
    </row>
    <row r="426">
      <c r="B426" s="70"/>
      <c r="C426" s="70"/>
      <c r="D426" s="70"/>
      <c r="E426" s="70"/>
    </row>
    <row r="427">
      <c r="B427" s="70"/>
      <c r="C427" s="70"/>
      <c r="D427" s="70"/>
      <c r="E427" s="70"/>
    </row>
    <row r="428">
      <c r="B428" s="70"/>
      <c r="C428" s="70"/>
      <c r="D428" s="70"/>
      <c r="E428" s="70"/>
    </row>
    <row r="429">
      <c r="B429" s="70"/>
      <c r="C429" s="70"/>
      <c r="D429" s="70"/>
      <c r="E429" s="70"/>
    </row>
    <row r="430">
      <c r="B430" s="70"/>
      <c r="C430" s="70"/>
      <c r="D430" s="70"/>
      <c r="E430" s="70"/>
    </row>
    <row r="431">
      <c r="B431" s="70"/>
      <c r="C431" s="70"/>
      <c r="D431" s="70"/>
      <c r="E431" s="70"/>
    </row>
    <row r="432">
      <c r="B432" s="70"/>
      <c r="C432" s="70"/>
      <c r="D432" s="70"/>
      <c r="E432" s="70"/>
    </row>
    <row r="433">
      <c r="B433" s="70"/>
      <c r="C433" s="70"/>
      <c r="D433" s="70"/>
      <c r="E433" s="70"/>
    </row>
    <row r="434">
      <c r="B434" s="70"/>
      <c r="C434" s="70"/>
      <c r="D434" s="70"/>
      <c r="E434" s="70"/>
    </row>
    <row r="435">
      <c r="B435" s="70"/>
      <c r="C435" s="70"/>
      <c r="D435" s="70"/>
      <c r="E435" s="70"/>
    </row>
    <row r="436">
      <c r="B436" s="70"/>
      <c r="C436" s="70"/>
      <c r="D436" s="70"/>
      <c r="E436" s="70"/>
    </row>
    <row r="437">
      <c r="B437" s="70"/>
      <c r="C437" s="70"/>
      <c r="D437" s="70"/>
      <c r="E437" s="70"/>
    </row>
    <row r="438">
      <c r="B438" s="70"/>
      <c r="C438" s="70"/>
      <c r="D438" s="70"/>
      <c r="E438" s="70"/>
    </row>
    <row r="439">
      <c r="B439" s="70"/>
      <c r="C439" s="70"/>
      <c r="D439" s="70"/>
      <c r="E439" s="70"/>
    </row>
    <row r="440">
      <c r="B440" s="70"/>
      <c r="C440" s="70"/>
      <c r="D440" s="70"/>
      <c r="E440" s="70"/>
    </row>
    <row r="441">
      <c r="B441" s="70"/>
      <c r="C441" s="70"/>
      <c r="D441" s="70"/>
      <c r="E441" s="70"/>
    </row>
    <row r="442">
      <c r="B442" s="70"/>
      <c r="C442" s="70"/>
      <c r="D442" s="70"/>
      <c r="E442" s="70"/>
    </row>
    <row r="443">
      <c r="B443" s="70"/>
      <c r="C443" s="70"/>
      <c r="D443" s="70"/>
      <c r="E443" s="70"/>
    </row>
    <row r="444">
      <c r="B444" s="70"/>
      <c r="C444" s="70"/>
      <c r="D444" s="70"/>
      <c r="E444" s="70"/>
    </row>
    <row r="445">
      <c r="B445" s="70"/>
      <c r="C445" s="70"/>
      <c r="D445" s="70"/>
      <c r="E445" s="70"/>
    </row>
    <row r="446">
      <c r="B446" s="70"/>
      <c r="C446" s="70"/>
      <c r="D446" s="70"/>
      <c r="E446" s="70"/>
    </row>
    <row r="447">
      <c r="B447" s="70"/>
      <c r="C447" s="70"/>
      <c r="D447" s="70"/>
      <c r="E447" s="70"/>
    </row>
    <row r="448">
      <c r="B448" s="70"/>
      <c r="C448" s="70"/>
      <c r="D448" s="70"/>
      <c r="E448" s="70"/>
    </row>
    <row r="449">
      <c r="B449" s="70"/>
      <c r="C449" s="70"/>
      <c r="D449" s="70"/>
      <c r="E449" s="70"/>
    </row>
    <row r="450">
      <c r="B450" s="70"/>
      <c r="C450" s="70"/>
      <c r="D450" s="70"/>
      <c r="E450" s="70"/>
    </row>
    <row r="451">
      <c r="B451" s="70"/>
      <c r="C451" s="70"/>
      <c r="D451" s="70"/>
      <c r="E451" s="70"/>
    </row>
    <row r="452">
      <c r="B452" s="70"/>
      <c r="C452" s="70"/>
      <c r="D452" s="70"/>
      <c r="E452" s="70"/>
    </row>
    <row r="453">
      <c r="B453" s="70"/>
      <c r="C453" s="70"/>
      <c r="D453" s="70"/>
      <c r="E453" s="70"/>
    </row>
    <row r="454">
      <c r="B454" s="70"/>
      <c r="C454" s="70"/>
      <c r="D454" s="70"/>
      <c r="E454" s="70"/>
    </row>
    <row r="455">
      <c r="B455" s="70"/>
      <c r="C455" s="70"/>
      <c r="D455" s="70"/>
      <c r="E455" s="70"/>
    </row>
    <row r="456">
      <c r="B456" s="70"/>
      <c r="C456" s="70"/>
      <c r="D456" s="70"/>
      <c r="E456" s="70"/>
    </row>
    <row r="457">
      <c r="B457" s="70"/>
      <c r="C457" s="70"/>
      <c r="D457" s="70"/>
      <c r="E457" s="70"/>
    </row>
    <row r="458">
      <c r="B458" s="70"/>
      <c r="C458" s="70"/>
      <c r="D458" s="70"/>
      <c r="E458" s="70"/>
    </row>
    <row r="459">
      <c r="B459" s="70"/>
      <c r="C459" s="70"/>
      <c r="D459" s="70"/>
      <c r="E459" s="70"/>
    </row>
    <row r="460">
      <c r="B460" s="70"/>
      <c r="C460" s="70"/>
      <c r="D460" s="70"/>
      <c r="E460" s="70"/>
    </row>
    <row r="461">
      <c r="B461" s="70"/>
      <c r="C461" s="70"/>
      <c r="D461" s="70"/>
      <c r="E461" s="70"/>
    </row>
    <row r="462">
      <c r="B462" s="70"/>
      <c r="C462" s="70"/>
      <c r="D462" s="70"/>
      <c r="E462" s="70"/>
    </row>
    <row r="463">
      <c r="B463" s="70"/>
      <c r="C463" s="70"/>
      <c r="D463" s="70"/>
      <c r="E463" s="70"/>
    </row>
    <row r="464">
      <c r="B464" s="70"/>
      <c r="C464" s="70"/>
      <c r="D464" s="70"/>
      <c r="E464" s="70"/>
    </row>
    <row r="465">
      <c r="B465" s="70"/>
      <c r="C465" s="70"/>
      <c r="D465" s="70"/>
      <c r="E465" s="70"/>
    </row>
    <row r="466">
      <c r="B466" s="70"/>
      <c r="C466" s="70"/>
      <c r="D466" s="70"/>
      <c r="E466" s="70"/>
    </row>
    <row r="467">
      <c r="B467" s="70"/>
      <c r="C467" s="70"/>
      <c r="D467" s="70"/>
      <c r="E467" s="70"/>
    </row>
    <row r="468">
      <c r="B468" s="70"/>
      <c r="C468" s="70"/>
      <c r="D468" s="70"/>
      <c r="E468" s="70"/>
    </row>
    <row r="469">
      <c r="B469" s="70"/>
      <c r="C469" s="70"/>
      <c r="D469" s="70"/>
      <c r="E469" s="70"/>
    </row>
    <row r="470">
      <c r="B470" s="70"/>
      <c r="C470" s="70"/>
      <c r="D470" s="70"/>
      <c r="E470" s="70"/>
    </row>
    <row r="471">
      <c r="B471" s="70"/>
      <c r="C471" s="70"/>
      <c r="D471" s="70"/>
      <c r="E471" s="70"/>
    </row>
    <row r="472">
      <c r="B472" s="70"/>
      <c r="C472" s="70"/>
      <c r="D472" s="70"/>
      <c r="E472" s="70"/>
    </row>
    <row r="473">
      <c r="B473" s="70"/>
      <c r="C473" s="70"/>
      <c r="D473" s="70"/>
      <c r="E473" s="70"/>
    </row>
    <row r="474">
      <c r="B474" s="70"/>
      <c r="C474" s="70"/>
      <c r="D474" s="70"/>
      <c r="E474" s="70"/>
    </row>
    <row r="475">
      <c r="B475" s="70"/>
      <c r="C475" s="70"/>
      <c r="D475" s="70"/>
      <c r="E475" s="70"/>
    </row>
    <row r="476">
      <c r="B476" s="70"/>
      <c r="C476" s="70"/>
      <c r="D476" s="70"/>
      <c r="E476" s="70"/>
    </row>
    <row r="477">
      <c r="B477" s="70"/>
      <c r="C477" s="70"/>
      <c r="D477" s="70"/>
      <c r="E477" s="70"/>
    </row>
    <row r="478">
      <c r="B478" s="70"/>
      <c r="C478" s="70"/>
      <c r="D478" s="70"/>
      <c r="E478" s="70"/>
    </row>
    <row r="479">
      <c r="B479" s="70"/>
      <c r="C479" s="70"/>
      <c r="D479" s="70"/>
      <c r="E479" s="70"/>
    </row>
    <row r="480">
      <c r="B480" s="70"/>
      <c r="C480" s="70"/>
      <c r="D480" s="70"/>
      <c r="E480" s="70"/>
    </row>
    <row r="481">
      <c r="B481" s="70"/>
      <c r="C481" s="70"/>
      <c r="D481" s="70"/>
      <c r="E481" s="70"/>
    </row>
    <row r="482">
      <c r="B482" s="70"/>
      <c r="C482" s="70"/>
      <c r="D482" s="70"/>
      <c r="E482" s="70"/>
    </row>
    <row r="483">
      <c r="B483" s="70"/>
      <c r="C483" s="70"/>
      <c r="D483" s="70"/>
      <c r="E483" s="70"/>
    </row>
    <row r="484">
      <c r="B484" s="70"/>
      <c r="C484" s="70"/>
      <c r="D484" s="70"/>
      <c r="E484" s="70"/>
    </row>
    <row r="485">
      <c r="B485" s="70"/>
      <c r="C485" s="70"/>
      <c r="D485" s="70"/>
      <c r="E485" s="70"/>
    </row>
    <row r="486">
      <c r="B486" s="70"/>
      <c r="C486" s="70"/>
      <c r="D486" s="70"/>
      <c r="E486" s="70"/>
    </row>
    <row r="487">
      <c r="B487" s="70"/>
      <c r="C487" s="70"/>
      <c r="D487" s="70"/>
      <c r="E487" s="70"/>
    </row>
    <row r="488">
      <c r="B488" s="70"/>
      <c r="C488" s="70"/>
      <c r="D488" s="70"/>
      <c r="E488" s="70"/>
    </row>
    <row r="489">
      <c r="B489" s="70"/>
      <c r="C489" s="70"/>
      <c r="D489" s="70"/>
      <c r="E489" s="70"/>
    </row>
    <row r="490">
      <c r="B490" s="70"/>
      <c r="C490" s="70"/>
      <c r="D490" s="70"/>
      <c r="E490" s="70"/>
    </row>
    <row r="491">
      <c r="B491" s="70"/>
      <c r="C491" s="70"/>
      <c r="D491" s="70"/>
      <c r="E491" s="70"/>
    </row>
    <row r="492">
      <c r="B492" s="70"/>
      <c r="C492" s="70"/>
      <c r="D492" s="70"/>
      <c r="E492" s="70"/>
    </row>
    <row r="493">
      <c r="B493" s="70"/>
      <c r="C493" s="70"/>
      <c r="D493" s="70"/>
      <c r="E493" s="70"/>
    </row>
    <row r="494">
      <c r="B494" s="70"/>
      <c r="C494" s="70"/>
      <c r="D494" s="70"/>
      <c r="E494" s="70"/>
    </row>
    <row r="495">
      <c r="B495" s="70"/>
      <c r="C495" s="70"/>
      <c r="D495" s="70"/>
      <c r="E495" s="70"/>
    </row>
    <row r="496">
      <c r="B496" s="70"/>
      <c r="C496" s="70"/>
      <c r="D496" s="70"/>
      <c r="E496" s="70"/>
    </row>
    <row r="497">
      <c r="B497" s="70"/>
      <c r="C497" s="70"/>
      <c r="D497" s="70"/>
      <c r="E497" s="70"/>
    </row>
    <row r="498">
      <c r="B498" s="70"/>
      <c r="C498" s="70"/>
      <c r="D498" s="70"/>
      <c r="E498" s="70"/>
    </row>
    <row r="499">
      <c r="B499" s="70"/>
      <c r="C499" s="70"/>
      <c r="D499" s="70"/>
      <c r="E499" s="70"/>
    </row>
    <row r="500">
      <c r="B500" s="70"/>
      <c r="C500" s="70"/>
      <c r="D500" s="70"/>
      <c r="E500" s="70"/>
    </row>
    <row r="501">
      <c r="B501" s="70"/>
      <c r="C501" s="70"/>
      <c r="D501" s="70"/>
      <c r="E501" s="70"/>
    </row>
    <row r="502">
      <c r="B502" s="70"/>
      <c r="C502" s="70"/>
      <c r="D502" s="70"/>
      <c r="E502" s="70"/>
    </row>
    <row r="503">
      <c r="B503" s="70"/>
      <c r="C503" s="70"/>
      <c r="D503" s="70"/>
      <c r="E503" s="70"/>
    </row>
    <row r="504">
      <c r="B504" s="70"/>
      <c r="C504" s="70"/>
      <c r="D504" s="70"/>
      <c r="E504" s="70"/>
    </row>
    <row r="505">
      <c r="B505" s="70"/>
      <c r="C505" s="70"/>
      <c r="D505" s="70"/>
      <c r="E505" s="70"/>
    </row>
    <row r="506">
      <c r="B506" s="70"/>
      <c r="C506" s="70"/>
      <c r="D506" s="70"/>
      <c r="E506" s="70"/>
    </row>
    <row r="507">
      <c r="B507" s="70"/>
      <c r="C507" s="70"/>
      <c r="D507" s="70"/>
      <c r="E507" s="70"/>
    </row>
    <row r="508">
      <c r="B508" s="70"/>
      <c r="C508" s="70"/>
      <c r="D508" s="70"/>
      <c r="E508" s="70"/>
    </row>
    <row r="509">
      <c r="B509" s="70"/>
      <c r="C509" s="70"/>
      <c r="D509" s="70"/>
      <c r="E509" s="70"/>
    </row>
    <row r="510">
      <c r="B510" s="70"/>
      <c r="C510" s="70"/>
      <c r="D510" s="70"/>
      <c r="E510" s="70"/>
    </row>
    <row r="511">
      <c r="B511" s="70"/>
      <c r="C511" s="70"/>
      <c r="D511" s="70"/>
      <c r="E511" s="70"/>
    </row>
    <row r="512">
      <c r="B512" s="70"/>
      <c r="C512" s="70"/>
      <c r="D512" s="70"/>
      <c r="E512" s="70"/>
    </row>
    <row r="513">
      <c r="B513" s="70"/>
      <c r="C513" s="70"/>
      <c r="D513" s="70"/>
      <c r="E513" s="70"/>
    </row>
    <row r="514">
      <c r="B514" s="70"/>
      <c r="C514" s="70"/>
      <c r="D514" s="70"/>
      <c r="E514" s="70"/>
    </row>
    <row r="515">
      <c r="B515" s="70"/>
      <c r="C515" s="70"/>
      <c r="D515" s="70"/>
      <c r="E515" s="70"/>
    </row>
    <row r="516">
      <c r="B516" s="70"/>
      <c r="C516" s="70"/>
      <c r="D516" s="70"/>
      <c r="E516" s="70"/>
    </row>
    <row r="517">
      <c r="B517" s="70"/>
      <c r="C517" s="70"/>
      <c r="D517" s="70"/>
      <c r="E517" s="70"/>
    </row>
    <row r="518">
      <c r="B518" s="70"/>
      <c r="C518" s="70"/>
      <c r="D518" s="70"/>
      <c r="E518" s="70"/>
    </row>
    <row r="519">
      <c r="B519" s="70"/>
      <c r="C519" s="70"/>
      <c r="D519" s="70"/>
      <c r="E519" s="70"/>
    </row>
    <row r="520">
      <c r="B520" s="70"/>
      <c r="C520" s="70"/>
      <c r="D520" s="70"/>
      <c r="E520" s="70"/>
    </row>
    <row r="521">
      <c r="B521" s="70"/>
      <c r="C521" s="70"/>
      <c r="D521" s="70"/>
      <c r="E521" s="70"/>
    </row>
    <row r="522">
      <c r="B522" s="70"/>
      <c r="C522" s="70"/>
      <c r="D522" s="70"/>
      <c r="E522" s="70"/>
    </row>
    <row r="523">
      <c r="B523" s="70"/>
      <c r="C523" s="70"/>
      <c r="D523" s="70"/>
      <c r="E523" s="70"/>
    </row>
    <row r="524">
      <c r="B524" s="70"/>
      <c r="C524" s="70"/>
      <c r="D524" s="70"/>
      <c r="E524" s="70"/>
    </row>
    <row r="525">
      <c r="B525" s="70"/>
      <c r="C525" s="70"/>
      <c r="D525" s="70"/>
      <c r="E525" s="70"/>
    </row>
    <row r="526">
      <c r="B526" s="70"/>
      <c r="C526" s="70"/>
      <c r="D526" s="70"/>
      <c r="E526" s="70"/>
    </row>
    <row r="527">
      <c r="B527" s="70"/>
      <c r="C527" s="70"/>
      <c r="D527" s="70"/>
      <c r="E527" s="70"/>
    </row>
    <row r="528">
      <c r="B528" s="70"/>
      <c r="C528" s="70"/>
      <c r="D528" s="70"/>
      <c r="E528" s="70"/>
    </row>
    <row r="529">
      <c r="B529" s="70"/>
      <c r="C529" s="70"/>
      <c r="D529" s="70"/>
      <c r="E529" s="70"/>
    </row>
    <row r="530">
      <c r="B530" s="70"/>
      <c r="C530" s="70"/>
      <c r="D530" s="70"/>
      <c r="E530" s="70"/>
    </row>
    <row r="531">
      <c r="B531" s="70"/>
      <c r="C531" s="70"/>
      <c r="D531" s="70"/>
      <c r="E531" s="70"/>
    </row>
    <row r="532">
      <c r="B532" s="70"/>
      <c r="C532" s="70"/>
      <c r="D532" s="70"/>
      <c r="E532" s="70"/>
    </row>
    <row r="533">
      <c r="B533" s="70"/>
      <c r="C533" s="70"/>
      <c r="D533" s="70"/>
      <c r="E533" s="70"/>
    </row>
    <row r="534">
      <c r="B534" s="70"/>
      <c r="C534" s="70"/>
      <c r="D534" s="70"/>
      <c r="E534" s="70"/>
    </row>
    <row r="535">
      <c r="B535" s="70"/>
      <c r="C535" s="70"/>
      <c r="D535" s="70"/>
      <c r="E535" s="70"/>
    </row>
    <row r="536">
      <c r="B536" s="70"/>
      <c r="C536" s="70"/>
      <c r="D536" s="70"/>
      <c r="E536" s="70"/>
    </row>
    <row r="537">
      <c r="B537" s="70"/>
      <c r="C537" s="70"/>
      <c r="D537" s="70"/>
      <c r="E537" s="70"/>
    </row>
    <row r="538">
      <c r="B538" s="70"/>
      <c r="C538" s="70"/>
      <c r="D538" s="70"/>
      <c r="E538" s="70"/>
    </row>
    <row r="539">
      <c r="B539" s="70"/>
      <c r="C539" s="70"/>
      <c r="D539" s="70"/>
      <c r="E539" s="70"/>
    </row>
    <row r="540">
      <c r="B540" s="70"/>
      <c r="C540" s="70"/>
      <c r="D540" s="70"/>
      <c r="E540" s="70"/>
    </row>
    <row r="541">
      <c r="B541" s="70"/>
      <c r="C541" s="70"/>
      <c r="D541" s="70"/>
      <c r="E541" s="70"/>
    </row>
    <row r="542">
      <c r="B542" s="70"/>
      <c r="C542" s="70"/>
      <c r="D542" s="70"/>
      <c r="E542" s="70"/>
    </row>
    <row r="543">
      <c r="B543" s="70"/>
      <c r="C543" s="70"/>
      <c r="D543" s="70"/>
      <c r="E543" s="70"/>
    </row>
    <row r="544">
      <c r="B544" s="70"/>
      <c r="C544" s="70"/>
      <c r="D544" s="70"/>
      <c r="E544" s="70"/>
    </row>
    <row r="545">
      <c r="B545" s="70"/>
      <c r="C545" s="70"/>
      <c r="D545" s="70"/>
      <c r="E545" s="70"/>
    </row>
    <row r="546">
      <c r="B546" s="70"/>
      <c r="C546" s="70"/>
      <c r="D546" s="70"/>
      <c r="E546" s="70"/>
    </row>
    <row r="547">
      <c r="B547" s="70"/>
      <c r="C547" s="70"/>
      <c r="D547" s="70"/>
      <c r="E547" s="70"/>
    </row>
    <row r="548">
      <c r="B548" s="70"/>
      <c r="C548" s="70"/>
      <c r="D548" s="70"/>
      <c r="E548" s="70"/>
    </row>
    <row r="549">
      <c r="B549" s="70"/>
      <c r="C549" s="70"/>
      <c r="D549" s="70"/>
      <c r="E549" s="70"/>
    </row>
    <row r="550">
      <c r="B550" s="70"/>
      <c r="C550" s="70"/>
      <c r="D550" s="70"/>
      <c r="E550" s="70"/>
    </row>
    <row r="551">
      <c r="B551" s="70"/>
      <c r="C551" s="70"/>
      <c r="D551" s="70"/>
      <c r="E551" s="70"/>
    </row>
    <row r="552">
      <c r="B552" s="70"/>
      <c r="C552" s="70"/>
      <c r="D552" s="70"/>
      <c r="E552" s="70"/>
    </row>
    <row r="553">
      <c r="B553" s="70"/>
      <c r="C553" s="70"/>
      <c r="D553" s="70"/>
      <c r="E553" s="70"/>
    </row>
    <row r="554">
      <c r="B554" s="70"/>
      <c r="C554" s="70"/>
      <c r="D554" s="70"/>
      <c r="E554" s="70"/>
    </row>
    <row r="555">
      <c r="B555" s="70"/>
      <c r="C555" s="70"/>
      <c r="D555" s="70"/>
      <c r="E555" s="70"/>
    </row>
    <row r="556">
      <c r="B556" s="70"/>
      <c r="C556" s="70"/>
      <c r="D556" s="70"/>
      <c r="E556" s="70"/>
    </row>
    <row r="557">
      <c r="B557" s="70"/>
      <c r="C557" s="70"/>
      <c r="D557" s="70"/>
      <c r="E557" s="70"/>
    </row>
    <row r="558">
      <c r="B558" s="70"/>
      <c r="C558" s="70"/>
      <c r="D558" s="70"/>
      <c r="E558" s="70"/>
    </row>
    <row r="559">
      <c r="B559" s="70"/>
      <c r="C559" s="70"/>
      <c r="D559" s="70"/>
      <c r="E559" s="70"/>
    </row>
    <row r="560">
      <c r="B560" s="70"/>
      <c r="C560" s="70"/>
      <c r="D560" s="70"/>
      <c r="E560" s="70"/>
    </row>
    <row r="561">
      <c r="B561" s="70"/>
      <c r="C561" s="70"/>
      <c r="D561" s="70"/>
      <c r="E561" s="70"/>
    </row>
    <row r="562">
      <c r="B562" s="70"/>
      <c r="C562" s="70"/>
      <c r="D562" s="70"/>
      <c r="E562" s="70"/>
    </row>
    <row r="563">
      <c r="B563" s="70"/>
      <c r="C563" s="70"/>
      <c r="D563" s="70"/>
      <c r="E563" s="70"/>
    </row>
    <row r="564">
      <c r="B564" s="70"/>
      <c r="C564" s="70"/>
      <c r="D564" s="70"/>
      <c r="E564" s="70"/>
    </row>
    <row r="565">
      <c r="B565" s="70"/>
      <c r="C565" s="70"/>
      <c r="D565" s="70"/>
      <c r="E565" s="70"/>
    </row>
    <row r="566">
      <c r="B566" s="70"/>
      <c r="C566" s="70"/>
      <c r="D566" s="70"/>
      <c r="E566" s="70"/>
    </row>
    <row r="567">
      <c r="B567" s="70"/>
      <c r="C567" s="70"/>
      <c r="D567" s="70"/>
      <c r="E567" s="70"/>
    </row>
    <row r="568">
      <c r="B568" s="70"/>
      <c r="C568" s="70"/>
      <c r="D568" s="70"/>
      <c r="E568" s="70"/>
    </row>
    <row r="569">
      <c r="B569" s="70"/>
      <c r="C569" s="70"/>
      <c r="D569" s="70"/>
      <c r="E569" s="70"/>
    </row>
    <row r="570">
      <c r="B570" s="70"/>
      <c r="C570" s="70"/>
      <c r="D570" s="70"/>
      <c r="E570" s="70"/>
    </row>
    <row r="571">
      <c r="B571" s="70"/>
      <c r="C571" s="70"/>
      <c r="D571" s="70"/>
      <c r="E571" s="70"/>
    </row>
    <row r="572">
      <c r="B572" s="70"/>
      <c r="C572" s="70"/>
      <c r="D572" s="70"/>
      <c r="E572" s="70"/>
    </row>
    <row r="573">
      <c r="B573" s="70"/>
      <c r="C573" s="70"/>
      <c r="D573" s="70"/>
      <c r="E573" s="70"/>
    </row>
    <row r="574">
      <c r="B574" s="70"/>
      <c r="C574" s="70"/>
      <c r="D574" s="70"/>
      <c r="E574" s="70"/>
    </row>
    <row r="575">
      <c r="B575" s="70"/>
      <c r="C575" s="70"/>
      <c r="D575" s="70"/>
      <c r="E575" s="70"/>
    </row>
    <row r="576">
      <c r="B576" s="70"/>
      <c r="C576" s="70"/>
      <c r="D576" s="70"/>
      <c r="E576" s="70"/>
    </row>
    <row r="577">
      <c r="B577" s="70"/>
      <c r="C577" s="70"/>
      <c r="D577" s="70"/>
      <c r="E577" s="70"/>
    </row>
    <row r="578">
      <c r="B578" s="70"/>
      <c r="C578" s="70"/>
      <c r="D578" s="70"/>
      <c r="E578" s="70"/>
    </row>
    <row r="579">
      <c r="B579" s="70"/>
      <c r="C579" s="70"/>
      <c r="D579" s="70"/>
      <c r="E579" s="70"/>
    </row>
    <row r="580">
      <c r="B580" s="70"/>
      <c r="C580" s="70"/>
      <c r="D580" s="70"/>
      <c r="E580" s="70"/>
    </row>
    <row r="581">
      <c r="B581" s="70"/>
      <c r="C581" s="70"/>
      <c r="D581" s="70"/>
      <c r="E581" s="70"/>
    </row>
    <row r="582">
      <c r="B582" s="70"/>
      <c r="C582" s="70"/>
      <c r="D582" s="70"/>
      <c r="E582" s="70"/>
    </row>
    <row r="583">
      <c r="B583" s="70"/>
      <c r="C583" s="70"/>
      <c r="D583" s="70"/>
      <c r="E583" s="70"/>
    </row>
    <row r="584">
      <c r="B584" s="70"/>
      <c r="C584" s="70"/>
      <c r="D584" s="70"/>
      <c r="E584" s="70"/>
    </row>
    <row r="585">
      <c r="B585" s="70"/>
      <c r="C585" s="70"/>
      <c r="D585" s="70"/>
      <c r="E585" s="70"/>
    </row>
    <row r="586">
      <c r="B586" s="70"/>
      <c r="C586" s="70"/>
      <c r="D586" s="70"/>
      <c r="E586" s="70"/>
    </row>
    <row r="587">
      <c r="B587" s="70"/>
      <c r="C587" s="70"/>
      <c r="D587" s="70"/>
      <c r="E587" s="70"/>
    </row>
    <row r="588">
      <c r="B588" s="70"/>
      <c r="C588" s="70"/>
      <c r="D588" s="70"/>
      <c r="E588" s="70"/>
    </row>
    <row r="589">
      <c r="B589" s="70"/>
      <c r="C589" s="70"/>
      <c r="D589" s="70"/>
      <c r="E589" s="70"/>
    </row>
    <row r="590">
      <c r="B590" s="70"/>
      <c r="C590" s="70"/>
      <c r="D590" s="70"/>
      <c r="E590" s="70"/>
    </row>
    <row r="591">
      <c r="B591" s="70"/>
      <c r="C591" s="70"/>
      <c r="D591" s="70"/>
      <c r="E591" s="70"/>
    </row>
    <row r="592">
      <c r="B592" s="70"/>
      <c r="C592" s="70"/>
      <c r="D592" s="70"/>
      <c r="E592" s="70"/>
    </row>
    <row r="593">
      <c r="B593" s="70"/>
      <c r="C593" s="70"/>
      <c r="D593" s="70"/>
      <c r="E593" s="70"/>
    </row>
    <row r="594">
      <c r="B594" s="70"/>
      <c r="C594" s="70"/>
      <c r="D594" s="70"/>
      <c r="E594" s="70"/>
    </row>
    <row r="595">
      <c r="B595" s="70"/>
      <c r="C595" s="70"/>
      <c r="D595" s="70"/>
      <c r="E595" s="70"/>
    </row>
    <row r="596">
      <c r="B596" s="70"/>
      <c r="C596" s="70"/>
      <c r="D596" s="70"/>
      <c r="E596" s="70"/>
    </row>
    <row r="597">
      <c r="B597" s="70"/>
      <c r="C597" s="70"/>
      <c r="D597" s="70"/>
      <c r="E597" s="70"/>
    </row>
    <row r="598">
      <c r="B598" s="70"/>
      <c r="C598" s="70"/>
      <c r="D598" s="70"/>
      <c r="E598" s="70"/>
    </row>
    <row r="599">
      <c r="B599" s="70"/>
      <c r="C599" s="70"/>
      <c r="D599" s="70"/>
      <c r="E599" s="70"/>
    </row>
    <row r="600">
      <c r="B600" s="70"/>
      <c r="C600" s="70"/>
      <c r="D600" s="70"/>
      <c r="E600" s="70"/>
    </row>
    <row r="601">
      <c r="B601" s="70"/>
      <c r="C601" s="70"/>
      <c r="D601" s="70"/>
      <c r="E601" s="70"/>
    </row>
    <row r="602">
      <c r="B602" s="70"/>
      <c r="C602" s="70"/>
      <c r="D602" s="70"/>
      <c r="E602" s="70"/>
    </row>
    <row r="603">
      <c r="B603" s="70"/>
      <c r="C603" s="70"/>
      <c r="D603" s="70"/>
      <c r="E603" s="70"/>
    </row>
    <row r="604">
      <c r="B604" s="70"/>
      <c r="C604" s="70"/>
      <c r="D604" s="70"/>
      <c r="E604" s="70"/>
    </row>
    <row r="605">
      <c r="B605" s="70"/>
      <c r="C605" s="70"/>
      <c r="D605" s="70"/>
      <c r="E605" s="70"/>
    </row>
    <row r="606">
      <c r="B606" s="70"/>
      <c r="C606" s="70"/>
      <c r="D606" s="70"/>
      <c r="E606" s="70"/>
    </row>
    <row r="607">
      <c r="B607" s="70"/>
      <c r="C607" s="70"/>
      <c r="D607" s="70"/>
      <c r="E607" s="70"/>
    </row>
    <row r="608">
      <c r="B608" s="70"/>
      <c r="C608" s="70"/>
      <c r="D608" s="70"/>
      <c r="E608" s="70"/>
    </row>
    <row r="609">
      <c r="B609" s="70"/>
      <c r="C609" s="70"/>
      <c r="D609" s="70"/>
      <c r="E609" s="70"/>
    </row>
    <row r="610">
      <c r="B610" s="70"/>
      <c r="C610" s="70"/>
      <c r="D610" s="70"/>
      <c r="E610" s="70"/>
    </row>
    <row r="611">
      <c r="B611" s="70"/>
      <c r="C611" s="70"/>
      <c r="D611" s="70"/>
      <c r="E611" s="70"/>
    </row>
    <row r="612">
      <c r="B612" s="70"/>
      <c r="C612" s="70"/>
      <c r="D612" s="70"/>
      <c r="E612" s="70"/>
    </row>
    <row r="613">
      <c r="B613" s="70"/>
      <c r="C613" s="70"/>
      <c r="D613" s="70"/>
      <c r="E613" s="70"/>
    </row>
    <row r="614">
      <c r="B614" s="70"/>
      <c r="C614" s="70"/>
      <c r="D614" s="70"/>
      <c r="E614" s="70"/>
    </row>
    <row r="615">
      <c r="B615" s="70"/>
      <c r="C615" s="70"/>
      <c r="D615" s="70"/>
      <c r="E615" s="70"/>
    </row>
    <row r="616">
      <c r="B616" s="70"/>
      <c r="C616" s="70"/>
      <c r="D616" s="70"/>
      <c r="E616" s="70"/>
    </row>
    <row r="617">
      <c r="B617" s="70"/>
      <c r="C617" s="70"/>
      <c r="D617" s="70"/>
      <c r="E617" s="70"/>
    </row>
    <row r="618">
      <c r="B618" s="70"/>
      <c r="C618" s="70"/>
      <c r="D618" s="70"/>
      <c r="E618" s="70"/>
    </row>
    <row r="619">
      <c r="B619" s="70"/>
      <c r="C619" s="70"/>
      <c r="D619" s="70"/>
      <c r="E619" s="70"/>
    </row>
    <row r="620">
      <c r="B620" s="70"/>
      <c r="C620" s="70"/>
      <c r="D620" s="70"/>
      <c r="E620" s="70"/>
    </row>
    <row r="621">
      <c r="B621" s="70"/>
      <c r="C621" s="70"/>
      <c r="D621" s="70"/>
      <c r="E621" s="70"/>
    </row>
    <row r="622">
      <c r="B622" s="70"/>
      <c r="C622" s="70"/>
      <c r="D622" s="70"/>
      <c r="E622" s="70"/>
    </row>
    <row r="623">
      <c r="B623" s="70"/>
      <c r="C623" s="70"/>
      <c r="D623" s="70"/>
      <c r="E623" s="70"/>
    </row>
    <row r="624">
      <c r="B624" s="70"/>
      <c r="C624" s="70"/>
      <c r="D624" s="70"/>
      <c r="E624" s="70"/>
    </row>
    <row r="625">
      <c r="B625" s="70"/>
      <c r="C625" s="70"/>
      <c r="D625" s="70"/>
      <c r="E625" s="70"/>
    </row>
    <row r="626">
      <c r="B626" s="70"/>
      <c r="C626" s="70"/>
      <c r="D626" s="70"/>
      <c r="E626" s="70"/>
    </row>
    <row r="627">
      <c r="B627" s="70"/>
      <c r="C627" s="70"/>
      <c r="D627" s="70"/>
      <c r="E627" s="70"/>
    </row>
    <row r="628">
      <c r="B628" s="70"/>
      <c r="C628" s="70"/>
      <c r="D628" s="70"/>
      <c r="E628" s="70"/>
    </row>
    <row r="629">
      <c r="B629" s="70"/>
      <c r="C629" s="70"/>
      <c r="D629" s="70"/>
      <c r="E629" s="70"/>
    </row>
    <row r="630">
      <c r="B630" s="70"/>
      <c r="C630" s="70"/>
      <c r="D630" s="70"/>
      <c r="E630" s="70"/>
    </row>
    <row r="631">
      <c r="B631" s="70"/>
      <c r="C631" s="70"/>
      <c r="D631" s="70"/>
      <c r="E631" s="70"/>
    </row>
    <row r="632">
      <c r="B632" s="70"/>
      <c r="C632" s="70"/>
      <c r="D632" s="70"/>
      <c r="E632" s="70"/>
    </row>
    <row r="633">
      <c r="B633" s="70"/>
      <c r="C633" s="70"/>
      <c r="D633" s="70"/>
      <c r="E633" s="70"/>
    </row>
    <row r="634">
      <c r="B634" s="70"/>
      <c r="C634" s="70"/>
      <c r="D634" s="70"/>
      <c r="E634" s="70"/>
    </row>
    <row r="635">
      <c r="B635" s="70"/>
      <c r="C635" s="70"/>
      <c r="D635" s="70"/>
      <c r="E635" s="70"/>
    </row>
    <row r="636">
      <c r="B636" s="70"/>
      <c r="C636" s="70"/>
      <c r="D636" s="70"/>
      <c r="E636" s="70"/>
    </row>
    <row r="637">
      <c r="B637" s="70"/>
      <c r="C637" s="70"/>
      <c r="D637" s="70"/>
      <c r="E637" s="70"/>
    </row>
    <row r="638">
      <c r="B638" s="70"/>
      <c r="C638" s="70"/>
      <c r="D638" s="70"/>
      <c r="E638" s="70"/>
    </row>
    <row r="639">
      <c r="B639" s="70"/>
      <c r="C639" s="70"/>
      <c r="D639" s="70"/>
      <c r="E639" s="70"/>
    </row>
    <row r="640">
      <c r="B640" s="70"/>
      <c r="C640" s="70"/>
      <c r="D640" s="70"/>
      <c r="E640" s="70"/>
    </row>
    <row r="641">
      <c r="B641" s="70"/>
      <c r="C641" s="70"/>
      <c r="D641" s="70"/>
      <c r="E641" s="70"/>
    </row>
    <row r="642">
      <c r="B642" s="70"/>
      <c r="C642" s="70"/>
      <c r="D642" s="70"/>
      <c r="E642" s="70"/>
    </row>
    <row r="643">
      <c r="B643" s="70"/>
      <c r="C643" s="70"/>
      <c r="D643" s="70"/>
      <c r="E643" s="70"/>
    </row>
    <row r="644">
      <c r="B644" s="70"/>
      <c r="C644" s="70"/>
      <c r="D644" s="70"/>
      <c r="E644" s="70"/>
    </row>
    <row r="645">
      <c r="B645" s="70"/>
      <c r="C645" s="70"/>
      <c r="D645" s="70"/>
      <c r="E645" s="70"/>
    </row>
    <row r="646">
      <c r="B646" s="70"/>
      <c r="C646" s="70"/>
      <c r="D646" s="70"/>
      <c r="E646" s="70"/>
    </row>
    <row r="647">
      <c r="B647" s="70"/>
      <c r="C647" s="70"/>
      <c r="D647" s="70"/>
      <c r="E647" s="70"/>
    </row>
    <row r="648">
      <c r="B648" s="70"/>
      <c r="C648" s="70"/>
      <c r="D648" s="70"/>
      <c r="E648" s="70"/>
    </row>
    <row r="649">
      <c r="B649" s="70"/>
      <c r="C649" s="70"/>
      <c r="D649" s="70"/>
      <c r="E649" s="70"/>
    </row>
    <row r="650">
      <c r="B650" s="70"/>
      <c r="C650" s="70"/>
      <c r="D650" s="70"/>
      <c r="E650" s="70"/>
    </row>
    <row r="651">
      <c r="B651" s="70"/>
      <c r="C651" s="70"/>
      <c r="D651" s="70"/>
      <c r="E651" s="70"/>
    </row>
    <row r="652">
      <c r="B652" s="70"/>
      <c r="C652" s="70"/>
      <c r="D652" s="70"/>
      <c r="E652" s="70"/>
    </row>
    <row r="653">
      <c r="B653" s="70"/>
      <c r="C653" s="70"/>
      <c r="D653" s="70"/>
      <c r="E653" s="70"/>
    </row>
    <row r="654">
      <c r="B654" s="70"/>
      <c r="C654" s="70"/>
      <c r="D654" s="70"/>
      <c r="E654" s="70"/>
    </row>
    <row r="655">
      <c r="B655" s="70"/>
      <c r="C655" s="70"/>
      <c r="D655" s="70"/>
      <c r="E655" s="70"/>
    </row>
    <row r="656">
      <c r="B656" s="70"/>
      <c r="C656" s="70"/>
      <c r="D656" s="70"/>
      <c r="E656" s="70"/>
    </row>
    <row r="657">
      <c r="B657" s="70"/>
      <c r="C657" s="70"/>
      <c r="D657" s="70"/>
      <c r="E657" s="70"/>
    </row>
    <row r="658">
      <c r="B658" s="70"/>
      <c r="C658" s="70"/>
      <c r="D658" s="70"/>
      <c r="E658" s="70"/>
    </row>
    <row r="659">
      <c r="B659" s="70"/>
      <c r="C659" s="70"/>
      <c r="D659" s="70"/>
      <c r="E659" s="70"/>
    </row>
    <row r="660">
      <c r="B660" s="70"/>
      <c r="C660" s="70"/>
      <c r="D660" s="70"/>
      <c r="E660" s="70"/>
    </row>
    <row r="661">
      <c r="B661" s="70"/>
      <c r="C661" s="70"/>
      <c r="D661" s="70"/>
      <c r="E661" s="70"/>
    </row>
    <row r="662">
      <c r="B662" s="70"/>
      <c r="C662" s="70"/>
      <c r="D662" s="70"/>
      <c r="E662" s="70"/>
    </row>
    <row r="663">
      <c r="B663" s="70"/>
      <c r="C663" s="70"/>
      <c r="D663" s="70"/>
      <c r="E663" s="70"/>
    </row>
    <row r="664">
      <c r="B664" s="70"/>
      <c r="C664" s="70"/>
      <c r="D664" s="70"/>
      <c r="E664" s="70"/>
    </row>
    <row r="665">
      <c r="B665" s="70"/>
      <c r="C665" s="70"/>
      <c r="D665" s="70"/>
      <c r="E665" s="70"/>
    </row>
    <row r="666">
      <c r="B666" s="70"/>
      <c r="C666" s="70"/>
      <c r="D666" s="70"/>
      <c r="E666" s="70"/>
    </row>
    <row r="667">
      <c r="B667" s="70"/>
      <c r="C667" s="70"/>
      <c r="D667" s="70"/>
      <c r="E667" s="70"/>
    </row>
    <row r="668">
      <c r="B668" s="70"/>
      <c r="C668" s="70"/>
      <c r="D668" s="70"/>
      <c r="E668" s="70"/>
    </row>
    <row r="669">
      <c r="B669" s="70"/>
      <c r="C669" s="70"/>
      <c r="D669" s="70"/>
      <c r="E669" s="70"/>
    </row>
    <row r="670">
      <c r="B670" s="70"/>
      <c r="C670" s="70"/>
      <c r="D670" s="70"/>
      <c r="E670" s="70"/>
    </row>
    <row r="671">
      <c r="B671" s="70"/>
      <c r="C671" s="70"/>
      <c r="D671" s="70"/>
      <c r="E671" s="70"/>
    </row>
    <row r="672">
      <c r="B672" s="70"/>
      <c r="C672" s="70"/>
      <c r="D672" s="70"/>
      <c r="E672" s="70"/>
    </row>
    <row r="673">
      <c r="B673" s="70"/>
      <c r="C673" s="70"/>
      <c r="D673" s="70"/>
      <c r="E673" s="70"/>
    </row>
    <row r="674">
      <c r="B674" s="70"/>
      <c r="C674" s="70"/>
      <c r="D674" s="70"/>
      <c r="E674" s="70"/>
    </row>
    <row r="675">
      <c r="B675" s="70"/>
      <c r="C675" s="70"/>
      <c r="D675" s="70"/>
      <c r="E675" s="70"/>
    </row>
    <row r="676">
      <c r="B676" s="70"/>
      <c r="C676" s="70"/>
      <c r="D676" s="70"/>
      <c r="E676" s="70"/>
    </row>
    <row r="677">
      <c r="B677" s="70"/>
      <c r="C677" s="70"/>
      <c r="D677" s="70"/>
      <c r="E677" s="70"/>
    </row>
    <row r="678">
      <c r="B678" s="70"/>
      <c r="C678" s="70"/>
      <c r="D678" s="70"/>
      <c r="E678" s="70"/>
    </row>
    <row r="679">
      <c r="B679" s="70"/>
      <c r="C679" s="70"/>
      <c r="D679" s="70"/>
      <c r="E679" s="70"/>
    </row>
    <row r="680">
      <c r="B680" s="70"/>
      <c r="C680" s="70"/>
      <c r="D680" s="70"/>
      <c r="E680" s="70"/>
    </row>
    <row r="681">
      <c r="B681" s="70"/>
      <c r="C681" s="70"/>
      <c r="D681" s="70"/>
      <c r="E681" s="70"/>
    </row>
    <row r="682">
      <c r="B682" s="70"/>
      <c r="C682" s="70"/>
      <c r="D682" s="70"/>
      <c r="E682" s="70"/>
    </row>
    <row r="683">
      <c r="B683" s="70"/>
      <c r="C683" s="70"/>
      <c r="D683" s="70"/>
      <c r="E683" s="70"/>
    </row>
    <row r="684">
      <c r="B684" s="70"/>
      <c r="C684" s="70"/>
      <c r="D684" s="70"/>
      <c r="E684" s="70"/>
    </row>
    <row r="685">
      <c r="B685" s="70"/>
      <c r="C685" s="70"/>
      <c r="D685" s="70"/>
      <c r="E685" s="70"/>
    </row>
    <row r="686">
      <c r="B686" s="70"/>
      <c r="C686" s="70"/>
      <c r="D686" s="70"/>
      <c r="E686" s="70"/>
    </row>
    <row r="687">
      <c r="B687" s="70"/>
      <c r="C687" s="70"/>
      <c r="D687" s="70"/>
      <c r="E687" s="70"/>
    </row>
    <row r="688">
      <c r="B688" s="70"/>
      <c r="C688" s="70"/>
      <c r="D688" s="70"/>
      <c r="E688" s="70"/>
    </row>
    <row r="689">
      <c r="B689" s="70"/>
      <c r="C689" s="70"/>
      <c r="D689" s="70"/>
      <c r="E689" s="70"/>
    </row>
    <row r="690">
      <c r="B690" s="70"/>
      <c r="C690" s="70"/>
      <c r="D690" s="70"/>
      <c r="E690" s="70"/>
    </row>
    <row r="691">
      <c r="B691" s="70"/>
      <c r="C691" s="70"/>
      <c r="D691" s="70"/>
      <c r="E691" s="70"/>
    </row>
    <row r="692">
      <c r="B692" s="70"/>
      <c r="C692" s="70"/>
      <c r="D692" s="70"/>
      <c r="E692" s="70"/>
    </row>
    <row r="693">
      <c r="B693" s="70"/>
      <c r="C693" s="70"/>
      <c r="D693" s="70"/>
      <c r="E693" s="70"/>
    </row>
    <row r="694">
      <c r="B694" s="70"/>
      <c r="C694" s="70"/>
      <c r="D694" s="70"/>
      <c r="E694" s="70"/>
    </row>
    <row r="695">
      <c r="B695" s="70"/>
      <c r="C695" s="70"/>
      <c r="D695" s="70"/>
      <c r="E695" s="70"/>
    </row>
    <row r="696">
      <c r="B696" s="70"/>
      <c r="C696" s="70"/>
      <c r="D696" s="70"/>
      <c r="E696" s="70"/>
    </row>
    <row r="697">
      <c r="B697" s="70"/>
      <c r="C697" s="70"/>
      <c r="D697" s="70"/>
      <c r="E697" s="70"/>
    </row>
    <row r="698">
      <c r="B698" s="70"/>
      <c r="C698" s="70"/>
      <c r="D698" s="70"/>
      <c r="E698" s="70"/>
    </row>
    <row r="699">
      <c r="B699" s="70"/>
      <c r="C699" s="70"/>
      <c r="D699" s="70"/>
      <c r="E699" s="70"/>
    </row>
    <row r="700">
      <c r="B700" s="70"/>
      <c r="C700" s="70"/>
      <c r="D700" s="70"/>
      <c r="E700" s="70"/>
    </row>
    <row r="701">
      <c r="B701" s="70"/>
      <c r="C701" s="70"/>
      <c r="D701" s="70"/>
      <c r="E701" s="70"/>
    </row>
    <row r="702">
      <c r="B702" s="70"/>
      <c r="C702" s="70"/>
      <c r="D702" s="70"/>
      <c r="E702" s="70"/>
    </row>
    <row r="703">
      <c r="B703" s="70"/>
      <c r="C703" s="70"/>
      <c r="D703" s="70"/>
      <c r="E703" s="70"/>
    </row>
    <row r="704">
      <c r="B704" s="70"/>
      <c r="C704" s="70"/>
      <c r="D704" s="70"/>
      <c r="E704" s="70"/>
    </row>
    <row r="705">
      <c r="B705" s="70"/>
      <c r="C705" s="70"/>
      <c r="D705" s="70"/>
      <c r="E705" s="70"/>
    </row>
    <row r="706">
      <c r="B706" s="70"/>
      <c r="C706" s="70"/>
      <c r="D706" s="70"/>
      <c r="E706" s="70"/>
    </row>
    <row r="707">
      <c r="B707" s="70"/>
      <c r="C707" s="70"/>
      <c r="D707" s="70"/>
      <c r="E707" s="70"/>
    </row>
    <row r="708">
      <c r="B708" s="70"/>
      <c r="C708" s="70"/>
      <c r="D708" s="70"/>
      <c r="E708" s="70"/>
    </row>
    <row r="709">
      <c r="B709" s="70"/>
      <c r="C709" s="70"/>
      <c r="D709" s="70"/>
      <c r="E709" s="70"/>
    </row>
    <row r="710">
      <c r="B710" s="70"/>
      <c r="C710" s="70"/>
      <c r="D710" s="70"/>
      <c r="E710" s="70"/>
    </row>
    <row r="711">
      <c r="B711" s="70"/>
      <c r="C711" s="70"/>
      <c r="D711" s="70"/>
      <c r="E711" s="70"/>
    </row>
    <row r="712">
      <c r="B712" s="70"/>
      <c r="C712" s="70"/>
      <c r="D712" s="70"/>
      <c r="E712" s="70"/>
    </row>
    <row r="713">
      <c r="B713" s="70"/>
      <c r="C713" s="70"/>
      <c r="D713" s="70"/>
      <c r="E713" s="70"/>
    </row>
    <row r="714">
      <c r="B714" s="70"/>
      <c r="C714" s="70"/>
      <c r="D714" s="70"/>
      <c r="E714" s="70"/>
    </row>
    <row r="715">
      <c r="B715" s="70"/>
      <c r="C715" s="70"/>
      <c r="D715" s="70"/>
      <c r="E715" s="70"/>
    </row>
    <row r="716">
      <c r="B716" s="70"/>
      <c r="C716" s="70"/>
      <c r="D716" s="70"/>
      <c r="E716" s="70"/>
    </row>
    <row r="717">
      <c r="B717" s="70"/>
      <c r="C717" s="70"/>
      <c r="D717" s="70"/>
      <c r="E717" s="70"/>
    </row>
    <row r="718">
      <c r="B718" s="70"/>
      <c r="C718" s="70"/>
      <c r="D718" s="70"/>
      <c r="E718" s="70"/>
    </row>
    <row r="719">
      <c r="B719" s="70"/>
      <c r="C719" s="70"/>
      <c r="D719" s="70"/>
      <c r="E719" s="70"/>
    </row>
    <row r="720">
      <c r="B720" s="70"/>
      <c r="C720" s="70"/>
      <c r="D720" s="70"/>
      <c r="E720" s="70"/>
    </row>
    <row r="721">
      <c r="B721" s="70"/>
      <c r="C721" s="70"/>
      <c r="D721" s="70"/>
      <c r="E721" s="70"/>
    </row>
    <row r="722">
      <c r="B722" s="70"/>
      <c r="C722" s="70"/>
      <c r="D722" s="70"/>
      <c r="E722" s="70"/>
    </row>
    <row r="723">
      <c r="B723" s="70"/>
      <c r="C723" s="70"/>
      <c r="D723" s="70"/>
      <c r="E723" s="70"/>
    </row>
    <row r="724">
      <c r="B724" s="70"/>
      <c r="C724" s="70"/>
      <c r="D724" s="70"/>
      <c r="E724" s="70"/>
    </row>
    <row r="725">
      <c r="B725" s="70"/>
      <c r="C725" s="70"/>
      <c r="D725" s="70"/>
      <c r="E725" s="70"/>
    </row>
    <row r="726">
      <c r="B726" s="70"/>
      <c r="C726" s="70"/>
      <c r="D726" s="70"/>
      <c r="E726" s="70"/>
    </row>
    <row r="727">
      <c r="B727" s="70"/>
      <c r="C727" s="70"/>
      <c r="D727" s="70"/>
      <c r="E727" s="70"/>
    </row>
    <row r="728">
      <c r="B728" s="70"/>
      <c r="C728" s="70"/>
      <c r="D728" s="70"/>
      <c r="E728" s="70"/>
    </row>
    <row r="729">
      <c r="B729" s="70"/>
      <c r="C729" s="70"/>
      <c r="D729" s="70"/>
      <c r="E729" s="70"/>
    </row>
    <row r="730">
      <c r="B730" s="70"/>
      <c r="C730" s="70"/>
      <c r="D730" s="70"/>
      <c r="E730" s="70"/>
    </row>
    <row r="731">
      <c r="B731" s="70"/>
      <c r="C731" s="70"/>
      <c r="D731" s="70"/>
      <c r="E731" s="70"/>
    </row>
    <row r="732">
      <c r="B732" s="70"/>
      <c r="C732" s="70"/>
      <c r="D732" s="70"/>
      <c r="E732" s="70"/>
    </row>
    <row r="733">
      <c r="B733" s="70"/>
      <c r="C733" s="70"/>
      <c r="D733" s="70"/>
      <c r="E733" s="70"/>
    </row>
    <row r="734">
      <c r="B734" s="70"/>
      <c r="C734" s="70"/>
      <c r="D734" s="70"/>
      <c r="E734" s="70"/>
    </row>
    <row r="735">
      <c r="B735" s="70"/>
      <c r="C735" s="70"/>
      <c r="D735" s="70"/>
      <c r="E735" s="70"/>
    </row>
    <row r="736">
      <c r="B736" s="70"/>
      <c r="C736" s="70"/>
      <c r="D736" s="70"/>
      <c r="E736" s="70"/>
    </row>
    <row r="737">
      <c r="B737" s="70"/>
      <c r="C737" s="70"/>
      <c r="D737" s="70"/>
      <c r="E737" s="70"/>
    </row>
    <row r="738">
      <c r="B738" s="70"/>
      <c r="C738" s="70"/>
      <c r="D738" s="70"/>
      <c r="E738" s="70"/>
    </row>
    <row r="739">
      <c r="B739" s="70"/>
      <c r="C739" s="70"/>
      <c r="D739" s="70"/>
      <c r="E739" s="70"/>
    </row>
    <row r="740">
      <c r="B740" s="70"/>
      <c r="C740" s="70"/>
      <c r="D740" s="70"/>
      <c r="E740" s="70"/>
    </row>
    <row r="741">
      <c r="B741" s="70"/>
      <c r="C741" s="70"/>
      <c r="D741" s="70"/>
      <c r="E741" s="70"/>
    </row>
    <row r="742">
      <c r="B742" s="70"/>
      <c r="C742" s="70"/>
      <c r="D742" s="70"/>
      <c r="E742" s="70"/>
    </row>
    <row r="743">
      <c r="B743" s="70"/>
      <c r="C743" s="70"/>
      <c r="D743" s="70"/>
      <c r="E743" s="70"/>
    </row>
    <row r="744">
      <c r="B744" s="70"/>
      <c r="C744" s="70"/>
      <c r="D744" s="70"/>
      <c r="E744" s="70"/>
    </row>
    <row r="745">
      <c r="B745" s="70"/>
      <c r="C745" s="70"/>
      <c r="D745" s="70"/>
      <c r="E745" s="70"/>
    </row>
    <row r="746">
      <c r="B746" s="70"/>
      <c r="C746" s="70"/>
      <c r="D746" s="70"/>
      <c r="E746" s="70"/>
    </row>
    <row r="747">
      <c r="B747" s="70"/>
      <c r="C747" s="70"/>
      <c r="D747" s="70"/>
      <c r="E747" s="70"/>
    </row>
    <row r="748">
      <c r="B748" s="70"/>
      <c r="C748" s="70"/>
      <c r="D748" s="70"/>
      <c r="E748" s="70"/>
    </row>
    <row r="749">
      <c r="B749" s="70"/>
      <c r="C749" s="70"/>
      <c r="D749" s="70"/>
      <c r="E749" s="70"/>
    </row>
    <row r="750">
      <c r="B750" s="70"/>
      <c r="C750" s="70"/>
      <c r="D750" s="70"/>
      <c r="E750" s="70"/>
    </row>
    <row r="751">
      <c r="B751" s="70"/>
      <c r="C751" s="70"/>
      <c r="D751" s="70"/>
      <c r="E751" s="70"/>
    </row>
    <row r="752">
      <c r="B752" s="70"/>
      <c r="C752" s="70"/>
      <c r="D752" s="70"/>
      <c r="E752" s="70"/>
    </row>
    <row r="753">
      <c r="B753" s="70"/>
      <c r="C753" s="70"/>
      <c r="D753" s="70"/>
      <c r="E753" s="70"/>
    </row>
    <row r="754">
      <c r="B754" s="70"/>
      <c r="C754" s="70"/>
      <c r="D754" s="70"/>
      <c r="E754" s="70"/>
    </row>
    <row r="755">
      <c r="B755" s="70"/>
      <c r="C755" s="70"/>
      <c r="D755" s="70"/>
      <c r="E755" s="70"/>
    </row>
    <row r="756">
      <c r="B756" s="70"/>
      <c r="C756" s="70"/>
      <c r="D756" s="70"/>
      <c r="E756" s="70"/>
    </row>
    <row r="757">
      <c r="B757" s="70"/>
      <c r="C757" s="70"/>
      <c r="D757" s="70"/>
      <c r="E757" s="70"/>
    </row>
    <row r="758">
      <c r="B758" s="70"/>
      <c r="C758" s="70"/>
      <c r="D758" s="70"/>
      <c r="E758" s="70"/>
    </row>
    <row r="759">
      <c r="B759" s="70"/>
      <c r="C759" s="70"/>
      <c r="D759" s="70"/>
      <c r="E759" s="70"/>
    </row>
    <row r="760">
      <c r="B760" s="70"/>
      <c r="C760" s="70"/>
      <c r="D760" s="70"/>
      <c r="E760" s="70"/>
    </row>
    <row r="761">
      <c r="B761" s="70"/>
      <c r="C761" s="70"/>
      <c r="D761" s="70"/>
      <c r="E761" s="70"/>
    </row>
    <row r="762">
      <c r="B762" s="70"/>
      <c r="C762" s="70"/>
      <c r="D762" s="70"/>
      <c r="E762" s="70"/>
    </row>
    <row r="763">
      <c r="B763" s="70"/>
      <c r="C763" s="70"/>
      <c r="D763" s="70"/>
      <c r="E763" s="70"/>
    </row>
    <row r="764">
      <c r="B764" s="70"/>
      <c r="C764" s="70"/>
      <c r="D764" s="70"/>
      <c r="E764" s="70"/>
    </row>
    <row r="765">
      <c r="B765" s="70"/>
      <c r="C765" s="70"/>
      <c r="D765" s="70"/>
      <c r="E765" s="70"/>
    </row>
    <row r="766">
      <c r="B766" s="70"/>
      <c r="C766" s="70"/>
      <c r="D766" s="70"/>
      <c r="E766" s="70"/>
    </row>
    <row r="767">
      <c r="B767" s="70"/>
      <c r="C767" s="70"/>
      <c r="D767" s="70"/>
      <c r="E767" s="70"/>
    </row>
    <row r="768">
      <c r="B768" s="70"/>
      <c r="C768" s="70"/>
      <c r="D768" s="70"/>
      <c r="E768" s="70"/>
    </row>
    <row r="769">
      <c r="B769" s="70"/>
      <c r="C769" s="70"/>
      <c r="D769" s="70"/>
      <c r="E769" s="70"/>
    </row>
    <row r="770">
      <c r="B770" s="70"/>
      <c r="C770" s="70"/>
      <c r="D770" s="70"/>
      <c r="E770" s="70"/>
    </row>
    <row r="771">
      <c r="B771" s="70"/>
      <c r="C771" s="70"/>
      <c r="D771" s="70"/>
      <c r="E771" s="70"/>
    </row>
    <row r="772">
      <c r="B772" s="70"/>
      <c r="C772" s="70"/>
      <c r="D772" s="70"/>
      <c r="E772" s="70"/>
    </row>
    <row r="773">
      <c r="B773" s="70"/>
      <c r="C773" s="70"/>
      <c r="D773" s="70"/>
      <c r="E773" s="70"/>
    </row>
    <row r="774">
      <c r="B774" s="70"/>
      <c r="C774" s="70"/>
      <c r="D774" s="70"/>
      <c r="E774" s="70"/>
    </row>
    <row r="775">
      <c r="B775" s="70"/>
      <c r="C775" s="70"/>
      <c r="D775" s="70"/>
      <c r="E775" s="70"/>
    </row>
    <row r="776">
      <c r="B776" s="70"/>
      <c r="C776" s="70"/>
      <c r="D776" s="70"/>
      <c r="E776" s="70"/>
    </row>
    <row r="777">
      <c r="B777" s="70"/>
      <c r="C777" s="70"/>
      <c r="D777" s="70"/>
      <c r="E777" s="70"/>
    </row>
    <row r="778">
      <c r="B778" s="70"/>
      <c r="C778" s="70"/>
      <c r="D778" s="70"/>
      <c r="E778" s="70"/>
    </row>
    <row r="779">
      <c r="B779" s="70"/>
      <c r="C779" s="70"/>
      <c r="D779" s="70"/>
      <c r="E779" s="70"/>
    </row>
    <row r="780">
      <c r="B780" s="70"/>
      <c r="C780" s="70"/>
      <c r="D780" s="70"/>
      <c r="E780" s="70"/>
    </row>
    <row r="781">
      <c r="B781" s="70"/>
      <c r="C781" s="70"/>
      <c r="D781" s="70"/>
      <c r="E781" s="70"/>
    </row>
    <row r="782">
      <c r="B782" s="70"/>
      <c r="C782" s="70"/>
      <c r="D782" s="70"/>
      <c r="E782" s="70"/>
    </row>
    <row r="783">
      <c r="B783" s="70"/>
      <c r="C783" s="70"/>
      <c r="D783" s="70"/>
      <c r="E783" s="70"/>
    </row>
    <row r="784">
      <c r="B784" s="70"/>
      <c r="C784" s="70"/>
      <c r="D784" s="70"/>
      <c r="E784" s="70"/>
    </row>
    <row r="785">
      <c r="B785" s="70"/>
      <c r="C785" s="70"/>
      <c r="D785" s="70"/>
      <c r="E785" s="70"/>
    </row>
    <row r="786">
      <c r="B786" s="70"/>
      <c r="C786" s="70"/>
      <c r="D786" s="70"/>
      <c r="E786" s="70"/>
    </row>
    <row r="787">
      <c r="B787" s="70"/>
      <c r="C787" s="70"/>
      <c r="D787" s="70"/>
      <c r="E787" s="70"/>
    </row>
    <row r="788">
      <c r="B788" s="70"/>
      <c r="C788" s="70"/>
      <c r="D788" s="70"/>
      <c r="E788" s="70"/>
    </row>
    <row r="789">
      <c r="B789" s="70"/>
      <c r="C789" s="70"/>
      <c r="D789" s="70"/>
      <c r="E789" s="70"/>
    </row>
    <row r="790">
      <c r="B790" s="70"/>
      <c r="C790" s="70"/>
      <c r="D790" s="70"/>
      <c r="E790" s="70"/>
    </row>
    <row r="791">
      <c r="B791" s="70"/>
      <c r="C791" s="70"/>
      <c r="D791" s="70"/>
      <c r="E791" s="70"/>
    </row>
    <row r="792">
      <c r="B792" s="70"/>
      <c r="C792" s="70"/>
      <c r="D792" s="70"/>
      <c r="E792" s="70"/>
    </row>
    <row r="793">
      <c r="B793" s="70"/>
      <c r="C793" s="70"/>
      <c r="D793" s="70"/>
      <c r="E793" s="70"/>
    </row>
    <row r="794">
      <c r="B794" s="70"/>
      <c r="C794" s="70"/>
      <c r="D794" s="70"/>
      <c r="E794" s="70"/>
    </row>
    <row r="795">
      <c r="B795" s="70"/>
      <c r="C795" s="70"/>
      <c r="D795" s="70"/>
      <c r="E795" s="70"/>
    </row>
    <row r="796">
      <c r="B796" s="70"/>
      <c r="C796" s="70"/>
      <c r="D796" s="70"/>
      <c r="E796" s="70"/>
    </row>
    <row r="797">
      <c r="B797" s="70"/>
      <c r="C797" s="70"/>
      <c r="D797" s="70"/>
      <c r="E797" s="70"/>
    </row>
    <row r="798">
      <c r="B798" s="70"/>
      <c r="C798" s="70"/>
      <c r="D798" s="70"/>
      <c r="E798" s="70"/>
    </row>
    <row r="799">
      <c r="B799" s="70"/>
      <c r="C799" s="70"/>
      <c r="D799" s="70"/>
      <c r="E799" s="70"/>
    </row>
    <row r="800">
      <c r="B800" s="70"/>
      <c r="C800" s="70"/>
      <c r="D800" s="70"/>
      <c r="E800" s="70"/>
    </row>
    <row r="801">
      <c r="B801" s="70"/>
      <c r="C801" s="70"/>
      <c r="D801" s="70"/>
      <c r="E801" s="70"/>
    </row>
    <row r="802">
      <c r="B802" s="70"/>
      <c r="C802" s="70"/>
      <c r="D802" s="70"/>
      <c r="E802" s="70"/>
    </row>
    <row r="803">
      <c r="B803" s="70"/>
      <c r="C803" s="70"/>
      <c r="D803" s="70"/>
      <c r="E803" s="70"/>
    </row>
    <row r="804">
      <c r="B804" s="70"/>
      <c r="C804" s="70"/>
      <c r="D804" s="70"/>
      <c r="E804" s="70"/>
    </row>
    <row r="805">
      <c r="B805" s="70"/>
      <c r="C805" s="70"/>
      <c r="D805" s="70"/>
      <c r="E805" s="70"/>
    </row>
    <row r="806">
      <c r="B806" s="70"/>
      <c r="C806" s="70"/>
      <c r="D806" s="70"/>
      <c r="E806" s="70"/>
    </row>
    <row r="807">
      <c r="B807" s="70"/>
      <c r="C807" s="70"/>
      <c r="D807" s="70"/>
      <c r="E807" s="70"/>
    </row>
    <row r="808">
      <c r="B808" s="70"/>
      <c r="C808" s="70"/>
      <c r="D808" s="70"/>
      <c r="E808" s="70"/>
    </row>
    <row r="809">
      <c r="B809" s="70"/>
      <c r="C809" s="70"/>
      <c r="D809" s="70"/>
      <c r="E809" s="70"/>
    </row>
    <row r="810">
      <c r="B810" s="70"/>
      <c r="C810" s="70"/>
      <c r="D810" s="70"/>
      <c r="E810" s="70"/>
    </row>
    <row r="811">
      <c r="B811" s="70"/>
      <c r="C811" s="70"/>
      <c r="D811" s="70"/>
      <c r="E811" s="70"/>
    </row>
    <row r="812">
      <c r="B812" s="70"/>
      <c r="C812" s="70"/>
      <c r="D812" s="70"/>
      <c r="E812" s="70"/>
    </row>
    <row r="813">
      <c r="B813" s="70"/>
      <c r="C813" s="70"/>
      <c r="D813" s="70"/>
      <c r="E813" s="70"/>
    </row>
    <row r="814">
      <c r="B814" s="70"/>
      <c r="C814" s="70"/>
      <c r="D814" s="70"/>
      <c r="E814" s="70"/>
    </row>
    <row r="815">
      <c r="B815" s="70"/>
      <c r="C815" s="70"/>
      <c r="D815" s="70"/>
      <c r="E815" s="70"/>
    </row>
    <row r="816">
      <c r="B816" s="70"/>
      <c r="C816" s="70"/>
      <c r="D816" s="70"/>
      <c r="E816" s="70"/>
    </row>
    <row r="817">
      <c r="B817" s="70"/>
      <c r="C817" s="70"/>
      <c r="D817" s="70"/>
      <c r="E817" s="70"/>
    </row>
    <row r="818">
      <c r="B818" s="70"/>
      <c r="C818" s="70"/>
      <c r="D818" s="70"/>
      <c r="E818" s="70"/>
    </row>
    <row r="819">
      <c r="B819" s="70"/>
      <c r="C819" s="70"/>
      <c r="D819" s="70"/>
      <c r="E819" s="70"/>
    </row>
    <row r="820">
      <c r="B820" s="70"/>
      <c r="C820" s="70"/>
      <c r="D820" s="70"/>
      <c r="E820" s="70"/>
    </row>
    <row r="821">
      <c r="B821" s="70"/>
      <c r="C821" s="70"/>
      <c r="D821" s="70"/>
      <c r="E821" s="70"/>
    </row>
    <row r="822">
      <c r="B822" s="70"/>
      <c r="C822" s="70"/>
      <c r="D822" s="70"/>
      <c r="E822" s="70"/>
    </row>
    <row r="823">
      <c r="B823" s="70"/>
      <c r="C823" s="70"/>
      <c r="D823" s="70"/>
      <c r="E823" s="70"/>
    </row>
    <row r="824">
      <c r="B824" s="70"/>
      <c r="C824" s="70"/>
      <c r="D824" s="70"/>
      <c r="E824" s="70"/>
    </row>
    <row r="825">
      <c r="B825" s="70"/>
      <c r="C825" s="70"/>
      <c r="D825" s="70"/>
      <c r="E825" s="70"/>
    </row>
    <row r="826">
      <c r="B826" s="70"/>
      <c r="C826" s="70"/>
      <c r="D826" s="70"/>
      <c r="E826" s="70"/>
    </row>
    <row r="827">
      <c r="B827" s="70"/>
      <c r="C827" s="70"/>
      <c r="D827" s="70"/>
      <c r="E827" s="70"/>
    </row>
    <row r="828">
      <c r="B828" s="70"/>
      <c r="C828" s="70"/>
      <c r="D828" s="70"/>
      <c r="E828" s="70"/>
    </row>
    <row r="829">
      <c r="B829" s="70"/>
      <c r="C829" s="70"/>
      <c r="D829" s="70"/>
      <c r="E829" s="70"/>
    </row>
    <row r="830">
      <c r="B830" s="70"/>
      <c r="C830" s="70"/>
      <c r="D830" s="70"/>
      <c r="E830" s="70"/>
    </row>
    <row r="831">
      <c r="B831" s="70"/>
      <c r="C831" s="70"/>
      <c r="D831" s="70"/>
      <c r="E831" s="70"/>
    </row>
    <row r="832">
      <c r="B832" s="70"/>
      <c r="C832" s="70"/>
      <c r="D832" s="70"/>
      <c r="E832" s="70"/>
    </row>
    <row r="833">
      <c r="B833" s="70"/>
      <c r="C833" s="70"/>
      <c r="D833" s="70"/>
      <c r="E833" s="70"/>
    </row>
    <row r="834">
      <c r="B834" s="70"/>
      <c r="C834" s="70"/>
      <c r="D834" s="70"/>
      <c r="E834" s="70"/>
    </row>
    <row r="835">
      <c r="B835" s="70"/>
      <c r="C835" s="70"/>
      <c r="D835" s="70"/>
      <c r="E835" s="70"/>
    </row>
    <row r="836">
      <c r="B836" s="70"/>
      <c r="C836" s="70"/>
      <c r="D836" s="70"/>
      <c r="E836" s="70"/>
    </row>
    <row r="837">
      <c r="B837" s="70"/>
      <c r="C837" s="70"/>
      <c r="D837" s="70"/>
      <c r="E837" s="70"/>
    </row>
    <row r="838">
      <c r="B838" s="70"/>
      <c r="C838" s="70"/>
      <c r="D838" s="70"/>
      <c r="E838" s="70"/>
    </row>
    <row r="839">
      <c r="B839" s="70"/>
      <c r="C839" s="70"/>
      <c r="D839" s="70"/>
      <c r="E839" s="70"/>
    </row>
    <row r="840">
      <c r="B840" s="70"/>
      <c r="C840" s="70"/>
      <c r="D840" s="70"/>
      <c r="E840" s="70"/>
    </row>
    <row r="841">
      <c r="B841" s="70"/>
      <c r="C841" s="70"/>
      <c r="D841" s="70"/>
      <c r="E841" s="70"/>
    </row>
    <row r="842">
      <c r="B842" s="70"/>
      <c r="C842" s="70"/>
      <c r="D842" s="70"/>
      <c r="E842" s="70"/>
    </row>
    <row r="843">
      <c r="B843" s="70"/>
      <c r="C843" s="70"/>
      <c r="D843" s="70"/>
      <c r="E843" s="70"/>
    </row>
    <row r="844">
      <c r="B844" s="70"/>
      <c r="C844" s="70"/>
      <c r="D844" s="70"/>
      <c r="E844" s="70"/>
    </row>
    <row r="845">
      <c r="B845" s="70"/>
      <c r="C845" s="70"/>
      <c r="D845" s="70"/>
      <c r="E845" s="70"/>
    </row>
    <row r="846">
      <c r="B846" s="70"/>
      <c r="C846" s="70"/>
      <c r="D846" s="70"/>
      <c r="E846" s="70"/>
    </row>
    <row r="847">
      <c r="B847" s="70"/>
      <c r="C847" s="70"/>
      <c r="D847" s="70"/>
      <c r="E847" s="70"/>
    </row>
    <row r="848">
      <c r="B848" s="70"/>
      <c r="C848" s="70"/>
      <c r="D848" s="70"/>
      <c r="E848" s="70"/>
    </row>
    <row r="849">
      <c r="B849" s="70"/>
      <c r="C849" s="70"/>
      <c r="D849" s="70"/>
      <c r="E849" s="70"/>
    </row>
    <row r="850">
      <c r="B850" s="70"/>
      <c r="C850" s="70"/>
      <c r="D850" s="70"/>
      <c r="E850" s="70"/>
    </row>
    <row r="851">
      <c r="B851" s="70"/>
      <c r="C851" s="70"/>
      <c r="D851" s="70"/>
      <c r="E851" s="70"/>
    </row>
    <row r="852">
      <c r="B852" s="70"/>
      <c r="C852" s="70"/>
      <c r="D852" s="70"/>
      <c r="E852" s="70"/>
    </row>
    <row r="853">
      <c r="B853" s="70"/>
      <c r="C853" s="70"/>
      <c r="D853" s="70"/>
      <c r="E853" s="70"/>
    </row>
    <row r="854">
      <c r="B854" s="70"/>
      <c r="C854" s="70"/>
      <c r="D854" s="70"/>
      <c r="E854" s="70"/>
    </row>
    <row r="855">
      <c r="B855" s="70"/>
      <c r="C855" s="70"/>
      <c r="D855" s="70"/>
      <c r="E855" s="70"/>
    </row>
    <row r="856">
      <c r="B856" s="70"/>
      <c r="C856" s="70"/>
      <c r="D856" s="70"/>
      <c r="E856" s="70"/>
    </row>
    <row r="857">
      <c r="B857" s="70"/>
      <c r="C857" s="70"/>
      <c r="D857" s="70"/>
      <c r="E857" s="70"/>
    </row>
    <row r="858">
      <c r="B858" s="70"/>
      <c r="C858" s="70"/>
      <c r="D858" s="70"/>
      <c r="E858" s="70"/>
    </row>
    <row r="859">
      <c r="B859" s="70"/>
      <c r="C859" s="70"/>
      <c r="D859" s="70"/>
      <c r="E859" s="70"/>
    </row>
    <row r="860">
      <c r="B860" s="70"/>
      <c r="C860" s="70"/>
      <c r="D860" s="70"/>
      <c r="E860" s="70"/>
    </row>
    <row r="861">
      <c r="B861" s="70"/>
      <c r="C861" s="70"/>
      <c r="D861" s="70"/>
      <c r="E861" s="70"/>
    </row>
    <row r="862">
      <c r="B862" s="70"/>
      <c r="C862" s="70"/>
      <c r="D862" s="70"/>
      <c r="E862" s="70"/>
    </row>
    <row r="863">
      <c r="B863" s="70"/>
      <c r="C863" s="70"/>
      <c r="D863" s="70"/>
      <c r="E863" s="70"/>
    </row>
    <row r="864">
      <c r="B864" s="70"/>
      <c r="C864" s="70"/>
      <c r="D864" s="70"/>
      <c r="E864" s="70"/>
    </row>
    <row r="865">
      <c r="B865" s="70"/>
      <c r="C865" s="70"/>
      <c r="D865" s="70"/>
      <c r="E865" s="70"/>
    </row>
    <row r="866">
      <c r="B866" s="70"/>
      <c r="C866" s="70"/>
      <c r="D866" s="70"/>
      <c r="E866" s="70"/>
    </row>
    <row r="867">
      <c r="B867" s="70"/>
      <c r="C867" s="70"/>
      <c r="D867" s="70"/>
      <c r="E867" s="70"/>
    </row>
    <row r="868">
      <c r="B868" s="70"/>
      <c r="C868" s="70"/>
      <c r="D868" s="70"/>
      <c r="E868" s="70"/>
    </row>
    <row r="869">
      <c r="B869" s="70"/>
      <c r="C869" s="70"/>
      <c r="D869" s="70"/>
      <c r="E869" s="70"/>
    </row>
    <row r="870">
      <c r="B870" s="70"/>
      <c r="C870" s="70"/>
      <c r="D870" s="70"/>
      <c r="E870" s="70"/>
    </row>
    <row r="871">
      <c r="B871" s="70"/>
      <c r="C871" s="70"/>
      <c r="D871" s="70"/>
      <c r="E871" s="70"/>
    </row>
    <row r="872">
      <c r="B872" s="70"/>
      <c r="C872" s="70"/>
      <c r="D872" s="70"/>
      <c r="E872" s="70"/>
    </row>
    <row r="873">
      <c r="B873" s="70"/>
      <c r="C873" s="70"/>
      <c r="D873" s="70"/>
      <c r="E873" s="70"/>
    </row>
    <row r="874">
      <c r="B874" s="70"/>
      <c r="C874" s="70"/>
      <c r="D874" s="70"/>
      <c r="E874" s="70"/>
    </row>
    <row r="875">
      <c r="B875" s="70"/>
      <c r="C875" s="70"/>
      <c r="D875" s="70"/>
      <c r="E875" s="70"/>
    </row>
    <row r="876">
      <c r="B876" s="70"/>
      <c r="C876" s="70"/>
      <c r="D876" s="70"/>
      <c r="E876" s="70"/>
    </row>
    <row r="877">
      <c r="B877" s="70"/>
      <c r="C877" s="70"/>
      <c r="D877" s="70"/>
      <c r="E877" s="70"/>
    </row>
    <row r="878">
      <c r="B878" s="70"/>
      <c r="C878" s="70"/>
      <c r="D878" s="70"/>
      <c r="E878" s="70"/>
    </row>
    <row r="879">
      <c r="B879" s="70"/>
      <c r="C879" s="70"/>
      <c r="D879" s="70"/>
      <c r="E879" s="70"/>
    </row>
    <row r="880">
      <c r="B880" s="70"/>
      <c r="C880" s="70"/>
      <c r="D880" s="70"/>
      <c r="E880" s="70"/>
    </row>
    <row r="881">
      <c r="B881" s="70"/>
      <c r="C881" s="70"/>
      <c r="D881" s="70"/>
      <c r="E881" s="70"/>
    </row>
    <row r="882">
      <c r="B882" s="70"/>
      <c r="C882" s="70"/>
      <c r="D882" s="70"/>
      <c r="E882" s="70"/>
    </row>
    <row r="883">
      <c r="B883" s="70"/>
      <c r="C883" s="70"/>
      <c r="D883" s="70"/>
      <c r="E883" s="70"/>
    </row>
    <row r="884">
      <c r="B884" s="70"/>
      <c r="C884" s="70"/>
      <c r="D884" s="70"/>
      <c r="E884" s="70"/>
    </row>
    <row r="885">
      <c r="B885" s="70"/>
      <c r="C885" s="70"/>
      <c r="D885" s="70"/>
      <c r="E885" s="70"/>
    </row>
    <row r="886">
      <c r="B886" s="70"/>
      <c r="C886" s="70"/>
      <c r="D886" s="70"/>
      <c r="E886" s="70"/>
    </row>
    <row r="887">
      <c r="B887" s="70"/>
      <c r="C887" s="70"/>
      <c r="D887" s="70"/>
      <c r="E887" s="70"/>
    </row>
    <row r="888">
      <c r="B888" s="70"/>
      <c r="C888" s="70"/>
      <c r="D888" s="70"/>
      <c r="E888" s="70"/>
    </row>
    <row r="889">
      <c r="B889" s="70"/>
      <c r="C889" s="70"/>
      <c r="D889" s="70"/>
      <c r="E889" s="70"/>
    </row>
    <row r="890">
      <c r="B890" s="70"/>
      <c r="C890" s="70"/>
      <c r="D890" s="70"/>
      <c r="E890" s="70"/>
    </row>
    <row r="891">
      <c r="B891" s="70"/>
      <c r="C891" s="70"/>
      <c r="D891" s="70"/>
      <c r="E891" s="70"/>
    </row>
    <row r="892">
      <c r="B892" s="70"/>
      <c r="C892" s="70"/>
      <c r="D892" s="70"/>
      <c r="E892" s="70"/>
    </row>
    <row r="893">
      <c r="B893" s="70"/>
      <c r="C893" s="70"/>
      <c r="D893" s="70"/>
      <c r="E893" s="70"/>
    </row>
    <row r="894">
      <c r="B894" s="70"/>
      <c r="C894" s="70"/>
      <c r="D894" s="70"/>
      <c r="E894" s="70"/>
    </row>
    <row r="895">
      <c r="B895" s="70"/>
      <c r="C895" s="70"/>
      <c r="D895" s="70"/>
      <c r="E895" s="70"/>
    </row>
    <row r="896">
      <c r="B896" s="70"/>
      <c r="C896" s="70"/>
      <c r="D896" s="70"/>
      <c r="E896" s="70"/>
    </row>
    <row r="897">
      <c r="B897" s="70"/>
      <c r="C897" s="70"/>
      <c r="D897" s="70"/>
      <c r="E897" s="70"/>
    </row>
    <row r="898">
      <c r="B898" s="70"/>
      <c r="C898" s="70"/>
      <c r="D898" s="70"/>
      <c r="E898" s="70"/>
    </row>
    <row r="899">
      <c r="B899" s="70"/>
      <c r="C899" s="70"/>
      <c r="D899" s="70"/>
      <c r="E899" s="70"/>
    </row>
    <row r="900">
      <c r="B900" s="70"/>
      <c r="C900" s="70"/>
      <c r="D900" s="70"/>
      <c r="E900" s="70"/>
    </row>
    <row r="901">
      <c r="B901" s="70"/>
      <c r="C901" s="70"/>
      <c r="D901" s="70"/>
      <c r="E901" s="70"/>
    </row>
    <row r="902">
      <c r="B902" s="70"/>
      <c r="C902" s="70"/>
      <c r="D902" s="70"/>
      <c r="E902" s="70"/>
    </row>
    <row r="903">
      <c r="B903" s="70"/>
      <c r="C903" s="70"/>
      <c r="D903" s="70"/>
      <c r="E903" s="70"/>
    </row>
    <row r="904">
      <c r="B904" s="70"/>
      <c r="C904" s="70"/>
      <c r="D904" s="70"/>
      <c r="E904" s="70"/>
    </row>
    <row r="905">
      <c r="B905" s="70"/>
      <c r="C905" s="70"/>
      <c r="D905" s="70"/>
      <c r="E905" s="70"/>
    </row>
    <row r="906">
      <c r="B906" s="70"/>
      <c r="C906" s="70"/>
      <c r="D906" s="70"/>
      <c r="E906" s="70"/>
    </row>
    <row r="907">
      <c r="B907" s="70"/>
      <c r="C907" s="70"/>
      <c r="D907" s="70"/>
      <c r="E907" s="70"/>
    </row>
    <row r="908">
      <c r="B908" s="70"/>
      <c r="C908" s="70"/>
      <c r="D908" s="70"/>
      <c r="E908" s="70"/>
    </row>
    <row r="909">
      <c r="B909" s="70"/>
      <c r="C909" s="70"/>
      <c r="D909" s="70"/>
      <c r="E909" s="70"/>
    </row>
    <row r="910">
      <c r="B910" s="70"/>
      <c r="C910" s="70"/>
      <c r="D910" s="70"/>
      <c r="E910" s="70"/>
    </row>
    <row r="911">
      <c r="B911" s="70"/>
      <c r="C911" s="70"/>
      <c r="D911" s="70"/>
      <c r="E911" s="70"/>
    </row>
    <row r="912">
      <c r="B912" s="70"/>
      <c r="C912" s="70"/>
      <c r="D912" s="70"/>
      <c r="E912" s="70"/>
    </row>
    <row r="913">
      <c r="B913" s="70"/>
      <c r="C913" s="70"/>
      <c r="D913" s="70"/>
      <c r="E913" s="70"/>
    </row>
    <row r="914">
      <c r="B914" s="70"/>
      <c r="C914" s="70"/>
      <c r="D914" s="70"/>
      <c r="E914" s="70"/>
    </row>
    <row r="915">
      <c r="B915" s="70"/>
      <c r="C915" s="70"/>
      <c r="D915" s="70"/>
      <c r="E915" s="70"/>
    </row>
    <row r="916">
      <c r="B916" s="70"/>
      <c r="C916" s="70"/>
      <c r="D916" s="70"/>
      <c r="E916" s="70"/>
    </row>
    <row r="917">
      <c r="B917" s="70"/>
      <c r="C917" s="70"/>
      <c r="D917" s="70"/>
      <c r="E917" s="70"/>
    </row>
    <row r="918">
      <c r="B918" s="70"/>
      <c r="C918" s="70"/>
      <c r="D918" s="70"/>
      <c r="E918" s="70"/>
    </row>
    <row r="919">
      <c r="B919" s="70"/>
      <c r="C919" s="70"/>
      <c r="D919" s="70"/>
      <c r="E919" s="70"/>
    </row>
    <row r="920">
      <c r="B920" s="70"/>
      <c r="C920" s="70"/>
      <c r="D920" s="70"/>
      <c r="E920" s="70"/>
    </row>
    <row r="921">
      <c r="B921" s="70"/>
      <c r="C921" s="70"/>
      <c r="D921" s="70"/>
      <c r="E921" s="70"/>
    </row>
    <row r="922">
      <c r="B922" s="70"/>
      <c r="C922" s="70"/>
      <c r="D922" s="70"/>
      <c r="E922" s="70"/>
    </row>
    <row r="923">
      <c r="B923" s="70"/>
      <c r="C923" s="70"/>
      <c r="D923" s="70"/>
      <c r="E923" s="70"/>
    </row>
    <row r="924">
      <c r="B924" s="70"/>
      <c r="C924" s="70"/>
      <c r="D924" s="70"/>
      <c r="E924" s="70"/>
    </row>
    <row r="925">
      <c r="B925" s="70"/>
      <c r="C925" s="70"/>
      <c r="D925" s="70"/>
      <c r="E925" s="70"/>
    </row>
    <row r="926">
      <c r="B926" s="70"/>
      <c r="C926" s="70"/>
      <c r="D926" s="70"/>
      <c r="E926" s="70"/>
    </row>
    <row r="927">
      <c r="B927" s="70"/>
      <c r="C927" s="70"/>
      <c r="D927" s="70"/>
      <c r="E927" s="70"/>
    </row>
    <row r="928">
      <c r="B928" s="70"/>
      <c r="C928" s="70"/>
      <c r="D928" s="70"/>
      <c r="E928" s="70"/>
    </row>
    <row r="929">
      <c r="B929" s="70"/>
      <c r="C929" s="70"/>
      <c r="D929" s="70"/>
      <c r="E929" s="70"/>
    </row>
    <row r="930">
      <c r="B930" s="70"/>
      <c r="C930" s="70"/>
      <c r="D930" s="70"/>
      <c r="E930" s="70"/>
    </row>
    <row r="931">
      <c r="B931" s="70"/>
      <c r="C931" s="70"/>
      <c r="D931" s="70"/>
      <c r="E931" s="70"/>
    </row>
    <row r="932">
      <c r="B932" s="70"/>
      <c r="C932" s="70"/>
      <c r="D932" s="70"/>
      <c r="E932" s="70"/>
    </row>
    <row r="933">
      <c r="B933" s="70"/>
      <c r="C933" s="70"/>
      <c r="D933" s="70"/>
      <c r="E933" s="70"/>
    </row>
    <row r="934">
      <c r="B934" s="70"/>
      <c r="C934" s="70"/>
      <c r="D934" s="70"/>
      <c r="E934" s="70"/>
    </row>
    <row r="935">
      <c r="B935" s="70"/>
      <c r="C935" s="70"/>
      <c r="D935" s="70"/>
      <c r="E935" s="70"/>
    </row>
    <row r="936">
      <c r="B936" s="70"/>
      <c r="C936" s="70"/>
      <c r="D936" s="70"/>
      <c r="E936" s="70"/>
    </row>
    <row r="937">
      <c r="B937" s="70"/>
      <c r="C937" s="70"/>
      <c r="D937" s="70"/>
      <c r="E937" s="70"/>
    </row>
    <row r="938">
      <c r="B938" s="70"/>
      <c r="C938" s="70"/>
      <c r="D938" s="70"/>
      <c r="E938" s="70"/>
    </row>
    <row r="939">
      <c r="B939" s="70"/>
      <c r="C939" s="70"/>
      <c r="D939" s="70"/>
      <c r="E939" s="70"/>
    </row>
    <row r="940">
      <c r="B940" s="70"/>
      <c r="C940" s="70"/>
      <c r="D940" s="70"/>
      <c r="E940" s="70"/>
    </row>
    <row r="941">
      <c r="B941" s="70"/>
      <c r="C941" s="70"/>
      <c r="D941" s="70"/>
      <c r="E941" s="70"/>
    </row>
    <row r="942">
      <c r="B942" s="70"/>
      <c r="C942" s="70"/>
      <c r="D942" s="70"/>
      <c r="E942" s="70"/>
    </row>
    <row r="943">
      <c r="B943" s="70"/>
      <c r="C943" s="70"/>
      <c r="D943" s="70"/>
      <c r="E943" s="70"/>
    </row>
    <row r="944">
      <c r="B944" s="70"/>
      <c r="C944" s="70"/>
      <c r="D944" s="70"/>
      <c r="E944" s="70"/>
    </row>
    <row r="945">
      <c r="B945" s="70"/>
      <c r="C945" s="70"/>
      <c r="D945" s="70"/>
      <c r="E945" s="70"/>
    </row>
    <row r="946">
      <c r="B946" s="70"/>
      <c r="C946" s="70"/>
      <c r="D946" s="70"/>
      <c r="E946" s="70"/>
    </row>
    <row r="947">
      <c r="B947" s="70"/>
      <c r="C947" s="70"/>
      <c r="D947" s="70"/>
      <c r="E947" s="70"/>
    </row>
    <row r="948">
      <c r="B948" s="70"/>
      <c r="C948" s="70"/>
      <c r="D948" s="70"/>
      <c r="E948" s="70"/>
    </row>
    <row r="949">
      <c r="B949" s="70"/>
      <c r="C949" s="70"/>
      <c r="D949" s="70"/>
      <c r="E949" s="70"/>
    </row>
    <row r="950">
      <c r="B950" s="70"/>
      <c r="C950" s="70"/>
      <c r="D950" s="70"/>
      <c r="E950" s="70"/>
    </row>
    <row r="951">
      <c r="B951" s="70"/>
      <c r="C951" s="70"/>
      <c r="D951" s="70"/>
      <c r="E951" s="70"/>
    </row>
    <row r="952">
      <c r="B952" s="70"/>
      <c r="C952" s="70"/>
      <c r="D952" s="70"/>
      <c r="E952" s="70"/>
    </row>
    <row r="953">
      <c r="B953" s="70"/>
      <c r="C953" s="70"/>
      <c r="D953" s="70"/>
      <c r="E953" s="70"/>
    </row>
    <row r="954">
      <c r="B954" s="70"/>
      <c r="C954" s="70"/>
      <c r="D954" s="70"/>
      <c r="E954" s="70"/>
    </row>
    <row r="955">
      <c r="B955" s="70"/>
      <c r="C955" s="70"/>
      <c r="D955" s="70"/>
      <c r="E955" s="70"/>
    </row>
    <row r="956">
      <c r="B956" s="70"/>
      <c r="C956" s="70"/>
      <c r="D956" s="70"/>
      <c r="E956" s="70"/>
    </row>
    <row r="957">
      <c r="B957" s="70"/>
      <c r="C957" s="70"/>
      <c r="D957" s="70"/>
      <c r="E957" s="70"/>
    </row>
    <row r="958">
      <c r="B958" s="70"/>
      <c r="C958" s="70"/>
      <c r="D958" s="70"/>
      <c r="E958" s="70"/>
    </row>
    <row r="959">
      <c r="B959" s="70"/>
      <c r="C959" s="70"/>
      <c r="D959" s="70"/>
      <c r="E959" s="70"/>
    </row>
    <row r="960">
      <c r="B960" s="70"/>
      <c r="C960" s="70"/>
      <c r="D960" s="70"/>
      <c r="E960" s="70"/>
    </row>
    <row r="961">
      <c r="B961" s="70"/>
      <c r="C961" s="70"/>
      <c r="D961" s="70"/>
      <c r="E961" s="70"/>
    </row>
    <row r="962">
      <c r="B962" s="70"/>
      <c r="C962" s="70"/>
      <c r="D962" s="70"/>
      <c r="E962" s="70"/>
    </row>
    <row r="963">
      <c r="B963" s="70"/>
      <c r="C963" s="70"/>
      <c r="D963" s="70"/>
      <c r="E963" s="70"/>
    </row>
    <row r="964">
      <c r="B964" s="70"/>
      <c r="C964" s="70"/>
      <c r="D964" s="70"/>
      <c r="E964" s="70"/>
    </row>
    <row r="965">
      <c r="B965" s="70"/>
      <c r="C965" s="70"/>
      <c r="D965" s="70"/>
      <c r="E965" s="70"/>
    </row>
    <row r="966">
      <c r="B966" s="70"/>
      <c r="C966" s="70"/>
      <c r="D966" s="70"/>
      <c r="E966" s="70"/>
    </row>
    <row r="967">
      <c r="B967" s="70"/>
      <c r="C967" s="70"/>
      <c r="D967" s="70"/>
      <c r="E967" s="70"/>
    </row>
    <row r="968">
      <c r="B968" s="70"/>
      <c r="C968" s="70"/>
      <c r="D968" s="70"/>
      <c r="E968" s="70"/>
    </row>
    <row r="969">
      <c r="B969" s="70"/>
      <c r="C969" s="70"/>
      <c r="D969" s="70"/>
      <c r="E969" s="70"/>
    </row>
    <row r="970">
      <c r="B970" s="70"/>
      <c r="C970" s="70"/>
      <c r="D970" s="70"/>
      <c r="E970" s="70"/>
    </row>
    <row r="971">
      <c r="B971" s="70"/>
      <c r="C971" s="70"/>
      <c r="D971" s="70"/>
      <c r="E971" s="70"/>
    </row>
    <row r="972">
      <c r="B972" s="70"/>
      <c r="C972" s="70"/>
      <c r="D972" s="70"/>
      <c r="E972" s="70"/>
    </row>
    <row r="973">
      <c r="B973" s="70"/>
      <c r="C973" s="70"/>
      <c r="D973" s="70"/>
      <c r="E973" s="70"/>
    </row>
    <row r="974">
      <c r="B974" s="70"/>
      <c r="C974" s="70"/>
      <c r="D974" s="70"/>
      <c r="E974" s="70"/>
    </row>
    <row r="975">
      <c r="B975" s="70"/>
      <c r="C975" s="70"/>
      <c r="D975" s="70"/>
      <c r="E975" s="70"/>
    </row>
    <row r="976">
      <c r="B976" s="70"/>
      <c r="C976" s="70"/>
      <c r="D976" s="70"/>
      <c r="E976" s="70"/>
    </row>
    <row r="977">
      <c r="B977" s="70"/>
      <c r="C977" s="70"/>
      <c r="D977" s="70"/>
      <c r="E977" s="70"/>
    </row>
    <row r="978">
      <c r="B978" s="70"/>
      <c r="C978" s="70"/>
      <c r="D978" s="70"/>
      <c r="E978" s="70"/>
    </row>
    <row r="979">
      <c r="B979" s="70"/>
      <c r="C979" s="70"/>
      <c r="D979" s="70"/>
      <c r="E979" s="70"/>
    </row>
    <row r="980">
      <c r="B980" s="70"/>
      <c r="C980" s="70"/>
      <c r="D980" s="70"/>
      <c r="E980" s="70"/>
    </row>
    <row r="981">
      <c r="B981" s="70"/>
      <c r="C981" s="70"/>
      <c r="D981" s="70"/>
      <c r="E981" s="70"/>
    </row>
    <row r="982">
      <c r="B982" s="70"/>
      <c r="C982" s="70"/>
      <c r="D982" s="70"/>
      <c r="E982" s="70"/>
    </row>
    <row r="983">
      <c r="B983" s="70"/>
      <c r="C983" s="70"/>
      <c r="D983" s="70"/>
      <c r="E983" s="70"/>
    </row>
    <row r="984">
      <c r="B984" s="70"/>
      <c r="C984" s="70"/>
      <c r="D984" s="70"/>
      <c r="E984" s="70"/>
    </row>
    <row r="985">
      <c r="B985" s="70"/>
      <c r="C985" s="70"/>
      <c r="D985" s="70"/>
      <c r="E985" s="70"/>
    </row>
    <row r="986">
      <c r="B986" s="70"/>
      <c r="C986" s="70"/>
      <c r="D986" s="70"/>
      <c r="E986" s="70"/>
    </row>
    <row r="987">
      <c r="B987" s="70"/>
      <c r="C987" s="70"/>
      <c r="D987" s="70"/>
      <c r="E987" s="70"/>
    </row>
    <row r="988">
      <c r="B988" s="70"/>
      <c r="C988" s="70"/>
      <c r="D988" s="70"/>
      <c r="E988" s="70"/>
    </row>
    <row r="989">
      <c r="B989" s="70"/>
      <c r="C989" s="70"/>
      <c r="D989" s="70"/>
      <c r="E989" s="70"/>
    </row>
    <row r="990">
      <c r="B990" s="70"/>
      <c r="C990" s="70"/>
      <c r="D990" s="70"/>
      <c r="E990" s="70"/>
    </row>
    <row r="991">
      <c r="B991" s="70"/>
      <c r="C991" s="70"/>
      <c r="D991" s="70"/>
      <c r="E991" s="70"/>
    </row>
    <row r="992">
      <c r="B992" s="70"/>
      <c r="C992" s="70"/>
      <c r="D992" s="70"/>
      <c r="E992" s="70"/>
    </row>
    <row r="993">
      <c r="B993" s="70"/>
      <c r="C993" s="70"/>
      <c r="D993" s="70"/>
      <c r="E993" s="70"/>
    </row>
    <row r="994">
      <c r="B994" s="70"/>
      <c r="C994" s="70"/>
      <c r="D994" s="70"/>
      <c r="E994" s="70"/>
    </row>
    <row r="995">
      <c r="B995" s="70"/>
      <c r="C995" s="70"/>
      <c r="D995" s="70"/>
      <c r="E995" s="70"/>
    </row>
    <row r="996">
      <c r="B996" s="70"/>
      <c r="C996" s="70"/>
      <c r="D996" s="70"/>
      <c r="E996" s="70"/>
    </row>
    <row r="997">
      <c r="B997" s="70"/>
      <c r="C997" s="70"/>
      <c r="D997" s="70"/>
      <c r="E997" s="70"/>
    </row>
    <row r="998">
      <c r="B998" s="70"/>
      <c r="C998" s="70"/>
      <c r="D998" s="70"/>
      <c r="E998" s="70"/>
    </row>
    <row r="999">
      <c r="B999" s="70"/>
      <c r="C999" s="70"/>
      <c r="D999" s="70"/>
      <c r="E999" s="70"/>
    </row>
    <row r="1000">
      <c r="B1000" s="70"/>
      <c r="C1000" s="70"/>
      <c r="D1000" s="70"/>
      <c r="E1000" s="70"/>
    </row>
    <row r="1001">
      <c r="B1001" s="70"/>
      <c r="C1001" s="70"/>
      <c r="D1001" s="70"/>
      <c r="E1001" s="70"/>
    </row>
  </sheetData>
  <mergeCells count="5">
    <mergeCell ref="A8:B8"/>
    <mergeCell ref="D8:I8"/>
    <mergeCell ref="K8:M8"/>
    <mergeCell ref="N8:Q8"/>
    <mergeCell ref="T8:Y8"/>
  </mergeCells>
  <dataValidations>
    <dataValidation type="list" allowBlank="1" sqref="G10:G16">
      <formula1>$G$1:$G$3</formula1>
    </dataValidation>
    <dataValidation type="list" allowBlank="1" sqref="F10:F16">
      <formula1>$F$1:$F$6</formula1>
    </dataValidation>
    <dataValidation type="list" allowBlank="1" sqref="H10:H16">
      <formula1>$H$1:$H$2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1.22" defaultRowHeight="15.0"/>
  <cols>
    <col customWidth="1" min="1" max="1" width="8.22"/>
    <col customWidth="1" min="2" max="2" width="17.0"/>
    <col customWidth="1" min="3" max="3" width="22.89"/>
    <col customWidth="1" min="4" max="4" width="17.56"/>
    <col customWidth="1" min="5" max="5" width="13.33"/>
    <col customWidth="1" min="6" max="6" width="15.0"/>
    <col customWidth="1" min="7" max="7" width="16.78"/>
    <col customWidth="1" min="8" max="8" width="14.56"/>
    <col customWidth="1" min="9" max="9" width="12.11"/>
    <col customWidth="1" min="10" max="10" width="13.33"/>
    <col customWidth="1" min="11" max="11" width="17.0"/>
    <col customWidth="1" min="12" max="12" width="16.22"/>
    <col customWidth="1" min="13" max="13" width="23.22"/>
    <col customWidth="1" min="14" max="14" width="10.33"/>
    <col customWidth="1" min="16" max="16" width="7.78"/>
    <col customWidth="1" min="17" max="17" width="11.67"/>
    <col customWidth="1" hidden="1" min="18" max="18" width="25.44"/>
    <col customWidth="1" min="19" max="19" width="12.44"/>
    <col customWidth="1" min="20" max="20" width="9.89"/>
    <col customWidth="1" min="22" max="22" width="10.0"/>
    <col customWidth="1" min="23" max="23" width="13.78"/>
    <col customWidth="1" min="24" max="24" width="16.33"/>
    <col customWidth="1" min="25" max="25" width="26.56"/>
    <col customWidth="1" min="26" max="26" width="18.67"/>
    <col customWidth="1" min="27" max="27" width="14.33"/>
    <col customWidth="1" min="28" max="28" width="19.89"/>
    <col customWidth="1" min="29" max="29" width="19.11"/>
    <col customWidth="1" min="30" max="30" width="20.33"/>
    <col customWidth="1" min="31" max="31" width="20.0"/>
    <col customWidth="1" min="32" max="32" width="14.44"/>
    <col customWidth="1" min="33" max="33" width="25.22"/>
    <col customWidth="1" min="34" max="34" width="21.89"/>
    <col customWidth="1" min="35" max="35" width="23.56"/>
    <col customWidth="1" min="36" max="36" width="28.0"/>
    <col customWidth="1" min="37" max="46" width="23.56"/>
  </cols>
  <sheetData>
    <row r="1" ht="15.0" hidden="1" customHeight="1">
      <c r="A1" s="27"/>
      <c r="B1" s="28"/>
      <c r="C1" s="28"/>
      <c r="D1" s="28"/>
      <c r="E1" s="28"/>
      <c r="F1" s="27" t="s">
        <v>121</v>
      </c>
      <c r="G1" s="3" t="s">
        <v>122</v>
      </c>
      <c r="H1" s="27" t="s">
        <v>123</v>
      </c>
      <c r="I1" s="27" t="s">
        <v>124</v>
      </c>
      <c r="J1" s="27" t="s">
        <v>125</v>
      </c>
      <c r="X1" s="85"/>
    </row>
    <row r="2" ht="15.0" hidden="1" customHeight="1">
      <c r="A2" s="27"/>
      <c r="B2" s="28"/>
      <c r="C2" s="28"/>
      <c r="D2" s="28"/>
      <c r="E2" s="28"/>
      <c r="F2" s="27" t="s">
        <v>126</v>
      </c>
      <c r="G2" s="30" t="s">
        <v>127</v>
      </c>
      <c r="H2" s="27" t="s">
        <v>128</v>
      </c>
      <c r="I2" s="27" t="s">
        <v>129</v>
      </c>
      <c r="J2" s="27" t="s">
        <v>130</v>
      </c>
      <c r="X2" s="85"/>
    </row>
    <row r="3" ht="15.0" hidden="1" customHeight="1">
      <c r="A3" s="27"/>
      <c r="B3" s="28"/>
      <c r="C3" s="28"/>
      <c r="D3" s="28"/>
      <c r="E3" s="28"/>
      <c r="F3" s="27" t="s">
        <v>131</v>
      </c>
      <c r="G3" s="31" t="s">
        <v>132</v>
      </c>
      <c r="H3" s="27"/>
      <c r="I3" s="27" t="s">
        <v>133</v>
      </c>
      <c r="J3" s="27" t="s">
        <v>134</v>
      </c>
      <c r="X3" s="85"/>
    </row>
    <row r="4" ht="15.0" hidden="1" customHeight="1">
      <c r="A4" s="27"/>
      <c r="B4" s="28"/>
      <c r="C4" s="28"/>
      <c r="D4" s="28"/>
      <c r="E4" s="28"/>
      <c r="F4" s="27" t="s">
        <v>135</v>
      </c>
      <c r="G4" s="27"/>
      <c r="H4" s="27"/>
      <c r="I4" s="27"/>
      <c r="J4" s="27"/>
      <c r="X4" s="85"/>
    </row>
    <row r="5" ht="15.0" hidden="1" customHeight="1">
      <c r="A5" s="27"/>
      <c r="B5" s="28"/>
      <c r="C5" s="28"/>
      <c r="D5" s="28"/>
      <c r="E5" s="28"/>
      <c r="F5" s="27" t="s">
        <v>136</v>
      </c>
      <c r="G5" s="27"/>
      <c r="H5" s="27"/>
      <c r="I5" s="27"/>
      <c r="J5" s="27" t="s">
        <v>137</v>
      </c>
      <c r="X5" s="85"/>
    </row>
    <row r="6" ht="15.0" hidden="1" customHeight="1">
      <c r="A6" s="27"/>
      <c r="B6" s="28"/>
      <c r="C6" s="28"/>
      <c r="D6" s="28"/>
      <c r="E6" s="28"/>
      <c r="F6" s="27" t="s">
        <v>138</v>
      </c>
      <c r="G6" s="27"/>
      <c r="H6" s="27"/>
      <c r="I6" s="27"/>
      <c r="J6" s="27" t="s">
        <v>139</v>
      </c>
      <c r="X6" s="85"/>
    </row>
    <row r="7">
      <c r="A7" s="27" t="s">
        <v>140</v>
      </c>
      <c r="B7" s="28"/>
      <c r="C7" s="28"/>
      <c r="D7" s="28" t="s">
        <v>141</v>
      </c>
      <c r="E7" s="28"/>
      <c r="F7" s="27"/>
      <c r="G7" s="27"/>
      <c r="H7" s="27"/>
      <c r="I7" s="27"/>
      <c r="J7" s="27"/>
      <c r="K7" s="27" t="s">
        <v>142</v>
      </c>
      <c r="X7" s="85"/>
    </row>
    <row r="8" ht="30.0" customHeight="1">
      <c r="A8" s="1" t="s">
        <v>0</v>
      </c>
      <c r="C8" s="1"/>
      <c r="D8" s="32" t="s">
        <v>370</v>
      </c>
      <c r="J8" s="33"/>
      <c r="K8" s="34" t="s">
        <v>144</v>
      </c>
      <c r="N8" s="35" t="s">
        <v>371</v>
      </c>
      <c r="R8" s="35"/>
      <c r="S8" s="35"/>
      <c r="T8" s="2" t="s">
        <v>146</v>
      </c>
      <c r="X8" s="86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30.0" customHeight="1">
      <c r="A9" s="2" t="s">
        <v>1</v>
      </c>
      <c r="B9" s="1" t="s">
        <v>2</v>
      </c>
      <c r="C9" s="1" t="s">
        <v>372</v>
      </c>
      <c r="D9" s="32" t="s">
        <v>373</v>
      </c>
      <c r="E9" s="32" t="s">
        <v>148</v>
      </c>
      <c r="F9" s="33" t="s">
        <v>149</v>
      </c>
      <c r="G9" s="33" t="s">
        <v>150</v>
      </c>
      <c r="H9" s="33" t="s">
        <v>151</v>
      </c>
      <c r="I9" s="33" t="s">
        <v>152</v>
      </c>
      <c r="J9" s="33" t="s">
        <v>153</v>
      </c>
      <c r="K9" s="34" t="s">
        <v>154</v>
      </c>
      <c r="L9" s="34" t="s">
        <v>155</v>
      </c>
      <c r="M9" s="34" t="s">
        <v>374</v>
      </c>
      <c r="N9" s="35" t="s">
        <v>158</v>
      </c>
      <c r="O9" s="35" t="s">
        <v>159</v>
      </c>
      <c r="P9" s="35" t="s">
        <v>160</v>
      </c>
      <c r="Q9" s="35" t="s">
        <v>376</v>
      </c>
      <c r="R9" s="40"/>
      <c r="S9" s="35" t="s">
        <v>471</v>
      </c>
      <c r="T9" s="2" t="s">
        <v>472</v>
      </c>
      <c r="U9" s="2" t="s">
        <v>473</v>
      </c>
      <c r="V9" s="2" t="s">
        <v>474</v>
      </c>
      <c r="W9" s="1" t="s">
        <v>475</v>
      </c>
      <c r="X9" s="87" t="s">
        <v>476</v>
      </c>
      <c r="Y9" s="2" t="s">
        <v>448</v>
      </c>
      <c r="Z9" s="2" t="s">
        <v>477</v>
      </c>
      <c r="AA9" s="2" t="s">
        <v>478</v>
      </c>
      <c r="AB9" s="2" t="s">
        <v>479</v>
      </c>
      <c r="AC9" s="2" t="s">
        <v>446</v>
      </c>
      <c r="AD9" s="2" t="s">
        <v>445</v>
      </c>
      <c r="AE9" s="2" t="s">
        <v>447</v>
      </c>
      <c r="AF9" s="2" t="s">
        <v>388</v>
      </c>
      <c r="AG9" s="2" t="s">
        <v>480</v>
      </c>
      <c r="AH9" s="2" t="s">
        <v>481</v>
      </c>
      <c r="AI9" s="2" t="s">
        <v>482</v>
      </c>
      <c r="AJ9" s="2" t="s">
        <v>483</v>
      </c>
      <c r="AK9" s="2" t="s">
        <v>484</v>
      </c>
      <c r="AL9" s="2" t="s">
        <v>389</v>
      </c>
      <c r="AM9" s="2" t="s">
        <v>485</v>
      </c>
      <c r="AN9" s="2" t="s">
        <v>486</v>
      </c>
      <c r="AO9" s="2" t="s">
        <v>487</v>
      </c>
      <c r="AP9" s="2" t="s">
        <v>488</v>
      </c>
      <c r="AQ9" s="2" t="s">
        <v>489</v>
      </c>
      <c r="AR9" s="2" t="s">
        <v>490</v>
      </c>
      <c r="AS9" s="2" t="s">
        <v>491</v>
      </c>
      <c r="AT9" s="2" t="s">
        <v>492</v>
      </c>
    </row>
    <row r="10" ht="45.0" customHeight="1">
      <c r="A10" s="3">
        <v>1700.0</v>
      </c>
      <c r="B10" s="4" t="s">
        <v>4</v>
      </c>
      <c r="C10" s="4" t="s">
        <v>493</v>
      </c>
      <c r="D10" s="4" t="s">
        <v>494</v>
      </c>
      <c r="E10" s="21" t="s">
        <v>495</v>
      </c>
      <c r="F10" s="3" t="s">
        <v>138</v>
      </c>
      <c r="G10" s="3" t="s">
        <v>132</v>
      </c>
      <c r="H10" s="3" t="s">
        <v>123</v>
      </c>
      <c r="I10" s="3" t="s">
        <v>360</v>
      </c>
      <c r="J10" s="24" t="s">
        <v>496</v>
      </c>
      <c r="K10" s="3" t="s">
        <v>497</v>
      </c>
      <c r="L10" s="3"/>
      <c r="M10" s="6"/>
      <c r="N10" s="83" t="s">
        <v>215</v>
      </c>
      <c r="O10" s="83" t="s">
        <v>215</v>
      </c>
      <c r="P10" s="83" t="s">
        <v>215</v>
      </c>
      <c r="Q10" s="83" t="s">
        <v>215</v>
      </c>
      <c r="R10" s="6"/>
      <c r="S10" s="83" t="s">
        <v>220</v>
      </c>
      <c r="T10" s="6"/>
      <c r="U10" s="6"/>
      <c r="V10" s="6"/>
      <c r="W10" s="6"/>
      <c r="X10" s="83" t="s">
        <v>217</v>
      </c>
      <c r="Y10" s="83" t="s">
        <v>217</v>
      </c>
      <c r="Z10" s="83" t="s">
        <v>217</v>
      </c>
      <c r="AA10" s="88" t="s">
        <v>215</v>
      </c>
      <c r="AB10" s="83" t="s">
        <v>217</v>
      </c>
      <c r="AC10" s="83" t="s">
        <v>217</v>
      </c>
      <c r="AD10" s="6"/>
      <c r="AE10" s="83" t="s">
        <v>217</v>
      </c>
      <c r="AF10" s="88" t="s">
        <v>215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ht="45.0" customHeight="1">
      <c r="A11" s="43">
        <v>1703.0</v>
      </c>
      <c r="B11" s="44" t="s">
        <v>10</v>
      </c>
      <c r="C11" s="44" t="s">
        <v>11</v>
      </c>
      <c r="D11" s="89" t="s">
        <v>498</v>
      </c>
      <c r="E11" s="89" t="s">
        <v>499</v>
      </c>
      <c r="F11" s="43" t="s">
        <v>138</v>
      </c>
      <c r="G11" s="50" t="s">
        <v>122</v>
      </c>
      <c r="H11" s="50" t="s">
        <v>123</v>
      </c>
      <c r="I11" s="43" t="s">
        <v>296</v>
      </c>
      <c r="J11" s="58" t="s">
        <v>496</v>
      </c>
      <c r="K11" s="47"/>
      <c r="L11" s="47"/>
      <c r="M11" s="47"/>
      <c r="N11" s="48" t="s">
        <v>215</v>
      </c>
      <c r="O11" s="48" t="s">
        <v>215</v>
      </c>
      <c r="P11" s="48" t="s">
        <v>215</v>
      </c>
      <c r="Q11" s="48" t="s">
        <v>215</v>
      </c>
      <c r="R11" s="47"/>
      <c r="S11" s="48" t="s">
        <v>215</v>
      </c>
      <c r="T11" s="47"/>
      <c r="U11" s="47"/>
      <c r="V11" s="47"/>
      <c r="W11" s="47"/>
      <c r="X11" s="47"/>
      <c r="Y11" s="47"/>
      <c r="Z11" s="47"/>
      <c r="AA11" s="47"/>
      <c r="AB11" s="47"/>
      <c r="AC11" s="48" t="s">
        <v>217</v>
      </c>
      <c r="AD11" s="48" t="s">
        <v>217</v>
      </c>
      <c r="AE11" s="48" t="s">
        <v>217</v>
      </c>
      <c r="AF11" s="47"/>
      <c r="AG11" s="47"/>
      <c r="AH11" s="47"/>
      <c r="AI11" s="47"/>
      <c r="AJ11" s="48" t="s">
        <v>217</v>
      </c>
      <c r="AK11" s="48" t="s">
        <v>217</v>
      </c>
      <c r="AL11" s="48" t="s">
        <v>217</v>
      </c>
      <c r="AM11" s="48"/>
      <c r="AN11" s="48"/>
      <c r="AO11" s="48"/>
      <c r="AP11" s="48"/>
      <c r="AQ11" s="48"/>
      <c r="AR11" s="48"/>
      <c r="AS11" s="48"/>
      <c r="AT11" s="48"/>
    </row>
    <row r="12" ht="45.0" customHeight="1">
      <c r="A12" s="43">
        <v>2003.0</v>
      </c>
      <c r="B12" s="44" t="s">
        <v>59</v>
      </c>
      <c r="C12" s="44" t="s">
        <v>60</v>
      </c>
      <c r="D12" s="44" t="s">
        <v>500</v>
      </c>
      <c r="E12" s="44" t="s">
        <v>501</v>
      </c>
      <c r="F12" s="43" t="s">
        <v>138</v>
      </c>
      <c r="G12" s="43" t="s">
        <v>132</v>
      </c>
      <c r="H12" s="43" t="s">
        <v>128</v>
      </c>
      <c r="I12" s="43" t="s">
        <v>405</v>
      </c>
      <c r="J12" s="58" t="s">
        <v>502</v>
      </c>
      <c r="K12" s="47"/>
      <c r="L12" s="47"/>
      <c r="M12" s="47"/>
      <c r="N12" s="43">
        <v>93.0</v>
      </c>
      <c r="O12" s="43">
        <v>192.3</v>
      </c>
      <c r="P12" s="48">
        <v>1.32</v>
      </c>
      <c r="Q12" s="48" t="s">
        <v>215</v>
      </c>
      <c r="R12" s="47"/>
      <c r="S12" s="48" t="s">
        <v>216</v>
      </c>
      <c r="T12" s="47"/>
      <c r="U12" s="47"/>
      <c r="V12" s="47"/>
      <c r="W12" s="48" t="s">
        <v>217</v>
      </c>
      <c r="X12" s="90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</row>
    <row r="13" ht="45.0" customHeight="1">
      <c r="A13" s="43">
        <v>2009.0</v>
      </c>
      <c r="B13" s="44" t="s">
        <v>69</v>
      </c>
      <c r="C13" s="44" t="s">
        <v>70</v>
      </c>
      <c r="D13" s="44" t="s">
        <v>503</v>
      </c>
      <c r="E13" s="44" t="s">
        <v>504</v>
      </c>
      <c r="F13" s="43" t="s">
        <v>138</v>
      </c>
      <c r="G13" s="50" t="s">
        <v>132</v>
      </c>
      <c r="H13" s="43" t="s">
        <v>123</v>
      </c>
      <c r="I13" s="43" t="s">
        <v>405</v>
      </c>
      <c r="J13" s="58" t="s">
        <v>502</v>
      </c>
      <c r="K13" s="47"/>
      <c r="L13" s="47"/>
      <c r="M13" s="47"/>
      <c r="N13" s="43">
        <v>822.0</v>
      </c>
      <c r="O13" s="48" t="s">
        <v>215</v>
      </c>
      <c r="P13" s="48" t="s">
        <v>215</v>
      </c>
      <c r="Q13" s="48" t="s">
        <v>215</v>
      </c>
      <c r="R13" s="47"/>
      <c r="S13" s="48" t="s">
        <v>220</v>
      </c>
      <c r="T13" s="47"/>
      <c r="U13" s="47"/>
      <c r="V13" s="47"/>
      <c r="W13" s="48"/>
      <c r="X13" s="91">
        <v>13.0</v>
      </c>
      <c r="Y13" s="48">
        <v>56.0</v>
      </c>
      <c r="Z13" s="48">
        <v>60.0</v>
      </c>
      <c r="AA13" s="48" t="s">
        <v>505</v>
      </c>
      <c r="AB13" s="48">
        <v>35.0</v>
      </c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</row>
    <row r="14" ht="45.0" customHeight="1">
      <c r="A14" s="43">
        <v>2010.0</v>
      </c>
      <c r="B14" s="44" t="s">
        <v>71</v>
      </c>
      <c r="C14" s="44" t="s">
        <v>72</v>
      </c>
      <c r="D14" s="44" t="s">
        <v>506</v>
      </c>
      <c r="E14" s="44" t="s">
        <v>507</v>
      </c>
      <c r="F14" s="43" t="s">
        <v>136</v>
      </c>
      <c r="G14" s="50" t="s">
        <v>132</v>
      </c>
      <c r="H14" s="50" t="s">
        <v>123</v>
      </c>
      <c r="I14" s="43" t="s">
        <v>296</v>
      </c>
      <c r="J14" s="51" t="s">
        <v>508</v>
      </c>
      <c r="K14" s="47"/>
      <c r="L14" s="47"/>
      <c r="M14" s="43" t="s">
        <v>509</v>
      </c>
      <c r="N14" s="50">
        <v>11371.0</v>
      </c>
      <c r="O14" s="48" t="s">
        <v>215</v>
      </c>
      <c r="P14" s="48" t="s">
        <v>215</v>
      </c>
      <c r="Q14" s="48" t="s">
        <v>215</v>
      </c>
      <c r="R14" s="47"/>
      <c r="S14" s="48" t="s">
        <v>316</v>
      </c>
      <c r="T14" s="47"/>
      <c r="U14" s="47"/>
      <c r="V14" s="47"/>
      <c r="W14" s="47"/>
      <c r="X14" s="48" t="s">
        <v>217</v>
      </c>
      <c r="Y14" s="48" t="s">
        <v>510</v>
      </c>
      <c r="Z14" s="47"/>
      <c r="AA14" s="47"/>
      <c r="AB14" s="48"/>
      <c r="AC14" s="48" t="s">
        <v>217</v>
      </c>
      <c r="AD14" s="48" t="s">
        <v>217</v>
      </c>
      <c r="AE14" s="48" t="s">
        <v>217</v>
      </c>
      <c r="AF14" s="48" t="s">
        <v>217</v>
      </c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</row>
    <row r="15" ht="45.0" customHeight="1">
      <c r="A15" s="43">
        <v>2012.0</v>
      </c>
      <c r="B15" s="92" t="s">
        <v>75</v>
      </c>
      <c r="C15" s="44" t="s">
        <v>76</v>
      </c>
      <c r="D15" s="44" t="s">
        <v>511</v>
      </c>
      <c r="E15" s="44" t="s">
        <v>512</v>
      </c>
      <c r="F15" s="43" t="s">
        <v>136</v>
      </c>
      <c r="G15" s="62" t="s">
        <v>127</v>
      </c>
      <c r="H15" s="43" t="s">
        <v>123</v>
      </c>
      <c r="I15" s="43" t="s">
        <v>296</v>
      </c>
      <c r="J15" s="59" t="s">
        <v>513</v>
      </c>
      <c r="K15" s="47"/>
      <c r="L15" s="47"/>
      <c r="M15" s="47"/>
      <c r="N15" s="43">
        <v>21730.46</v>
      </c>
      <c r="O15" s="43">
        <v>38923.27</v>
      </c>
      <c r="P15" s="43">
        <v>1.79</v>
      </c>
      <c r="Q15" s="43">
        <v>17839.22</v>
      </c>
      <c r="R15" s="47"/>
      <c r="S15" s="48" t="s">
        <v>264</v>
      </c>
      <c r="T15" s="47"/>
      <c r="U15" s="47"/>
      <c r="V15" s="47"/>
      <c r="W15" s="47"/>
      <c r="X15" s="48" t="s">
        <v>217</v>
      </c>
      <c r="Y15" s="48" t="s">
        <v>514</v>
      </c>
      <c r="Z15" s="47"/>
      <c r="AA15" s="48" t="s">
        <v>217</v>
      </c>
      <c r="AB15" s="47"/>
      <c r="AC15" s="48" t="s">
        <v>217</v>
      </c>
      <c r="AD15" s="48" t="s">
        <v>217</v>
      </c>
      <c r="AE15" s="48" t="s">
        <v>217</v>
      </c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</row>
    <row r="16" ht="45.0" customHeight="1">
      <c r="A16" s="43">
        <v>1909.0</v>
      </c>
      <c r="B16" s="44" t="s">
        <v>46</v>
      </c>
      <c r="C16" s="93" t="s">
        <v>47</v>
      </c>
      <c r="D16" s="67" t="s">
        <v>515</v>
      </c>
      <c r="E16" s="44" t="s">
        <v>516</v>
      </c>
      <c r="F16" s="43" t="s">
        <v>138</v>
      </c>
      <c r="G16" s="50" t="s">
        <v>132</v>
      </c>
      <c r="H16" s="43" t="s">
        <v>128</v>
      </c>
      <c r="I16" s="43" t="s">
        <v>405</v>
      </c>
      <c r="J16" s="51" t="s">
        <v>508</v>
      </c>
      <c r="K16" s="47"/>
      <c r="L16" s="47"/>
      <c r="M16" s="47"/>
      <c r="N16" s="43">
        <v>77189.0</v>
      </c>
      <c r="O16" s="43">
        <v>154370.0</v>
      </c>
      <c r="P16" s="43">
        <v>2.0</v>
      </c>
      <c r="Q16" s="48" t="s">
        <v>215</v>
      </c>
      <c r="R16" s="47"/>
      <c r="S16" s="94" t="s">
        <v>517</v>
      </c>
      <c r="T16" s="47"/>
      <c r="U16" s="48" t="s">
        <v>217</v>
      </c>
      <c r="V16" s="48" t="s">
        <v>217</v>
      </c>
      <c r="W16" s="48" t="s">
        <v>518</v>
      </c>
      <c r="X16" s="48" t="s">
        <v>519</v>
      </c>
      <c r="Y16" s="48" t="s">
        <v>520</v>
      </c>
      <c r="Z16" s="47"/>
      <c r="AA16" s="48" t="s">
        <v>521</v>
      </c>
      <c r="AB16" s="47"/>
      <c r="AC16" s="47"/>
      <c r="AD16" s="48" t="s">
        <v>217</v>
      </c>
      <c r="AE16" s="47"/>
      <c r="AF16" s="48" t="s">
        <v>522</v>
      </c>
      <c r="AG16" s="48" t="s">
        <v>523</v>
      </c>
      <c r="AH16" s="48" t="s">
        <v>217</v>
      </c>
      <c r="AI16" s="48" t="s">
        <v>519</v>
      </c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</row>
    <row r="17" ht="45.0" customHeight="1">
      <c r="A17" s="49">
        <v>1802.0</v>
      </c>
      <c r="B17" s="44" t="s">
        <v>24</v>
      </c>
      <c r="C17" s="93" t="s">
        <v>25</v>
      </c>
      <c r="D17" s="95" t="s">
        <v>524</v>
      </c>
      <c r="E17" s="95" t="s">
        <v>525</v>
      </c>
      <c r="F17" s="43" t="s">
        <v>136</v>
      </c>
      <c r="G17" s="50" t="s">
        <v>132</v>
      </c>
      <c r="H17" s="43" t="s">
        <v>123</v>
      </c>
      <c r="I17" s="43" t="s">
        <v>296</v>
      </c>
      <c r="J17" s="58" t="s">
        <v>502</v>
      </c>
      <c r="K17" s="47"/>
      <c r="L17" s="47"/>
      <c r="M17" s="47"/>
      <c r="N17" s="48" t="s">
        <v>215</v>
      </c>
      <c r="O17" s="43">
        <v>18500.0</v>
      </c>
      <c r="P17" s="48" t="s">
        <v>215</v>
      </c>
      <c r="Q17" s="48" t="s">
        <v>215</v>
      </c>
      <c r="R17" s="47"/>
      <c r="S17" s="48" t="s">
        <v>297</v>
      </c>
      <c r="T17" s="47"/>
      <c r="U17" s="47"/>
      <c r="V17" s="43">
        <v>225.0</v>
      </c>
      <c r="W17" s="47"/>
      <c r="X17" s="96">
        <v>228.0</v>
      </c>
      <c r="Y17" s="48" t="s">
        <v>510</v>
      </c>
      <c r="Z17" s="48" t="s">
        <v>526</v>
      </c>
      <c r="AA17" s="47"/>
      <c r="AB17" s="47"/>
      <c r="AC17" s="48" t="s">
        <v>217</v>
      </c>
      <c r="AD17" s="48" t="s">
        <v>217</v>
      </c>
      <c r="AE17" s="48" t="s">
        <v>527</v>
      </c>
      <c r="AF17" s="43">
        <v>703.0</v>
      </c>
      <c r="AG17" s="47"/>
      <c r="AH17" s="47"/>
      <c r="AI17" s="47"/>
      <c r="AJ17" s="47"/>
      <c r="AK17" s="47"/>
      <c r="AL17" s="43">
        <v>331.0</v>
      </c>
      <c r="AM17" s="48" t="s">
        <v>217</v>
      </c>
      <c r="AN17" s="48"/>
      <c r="AO17" s="48"/>
      <c r="AP17" s="48"/>
      <c r="AQ17" s="48"/>
      <c r="AR17" s="48"/>
      <c r="AS17" s="48"/>
      <c r="AT17" s="48"/>
    </row>
    <row r="18" ht="45.0" customHeight="1">
      <c r="A18" s="49">
        <v>1902.0</v>
      </c>
      <c r="B18" s="44" t="s">
        <v>32</v>
      </c>
      <c r="C18" s="97" t="s">
        <v>33</v>
      </c>
      <c r="D18" s="67" t="s">
        <v>528</v>
      </c>
      <c r="E18" s="67" t="s">
        <v>529</v>
      </c>
      <c r="F18" s="43" t="s">
        <v>136</v>
      </c>
      <c r="G18" s="50" t="s">
        <v>132</v>
      </c>
      <c r="H18" s="43" t="s">
        <v>123</v>
      </c>
      <c r="I18" s="43" t="s">
        <v>296</v>
      </c>
      <c r="J18" s="58" t="s">
        <v>496</v>
      </c>
      <c r="K18" s="47"/>
      <c r="L18" s="47"/>
      <c r="M18" s="47"/>
      <c r="N18" s="48" t="s">
        <v>215</v>
      </c>
      <c r="O18" s="54" t="s">
        <v>530</v>
      </c>
      <c r="P18" s="48" t="s">
        <v>215</v>
      </c>
      <c r="Q18" s="48" t="s">
        <v>215</v>
      </c>
      <c r="R18" s="47"/>
      <c r="S18" s="48" t="s">
        <v>531</v>
      </c>
      <c r="T18" s="47"/>
      <c r="U18" s="47"/>
      <c r="V18" s="47"/>
      <c r="W18" s="47"/>
      <c r="X18" s="91" t="s">
        <v>532</v>
      </c>
      <c r="Y18" s="48" t="s">
        <v>510</v>
      </c>
      <c r="Z18" s="48" t="s">
        <v>533</v>
      </c>
      <c r="AA18" s="47"/>
      <c r="AB18" s="48" t="s">
        <v>534</v>
      </c>
      <c r="AC18" s="48" t="s">
        <v>217</v>
      </c>
      <c r="AD18" s="48" t="s">
        <v>217</v>
      </c>
      <c r="AE18" s="48" t="s">
        <v>217</v>
      </c>
      <c r="AF18" s="47"/>
      <c r="AG18" s="47"/>
      <c r="AH18" s="47"/>
      <c r="AI18" s="47"/>
      <c r="AJ18" s="47"/>
      <c r="AK18" s="47"/>
      <c r="AL18" s="47"/>
      <c r="AM18" s="47"/>
      <c r="AN18" s="48" t="s">
        <v>217</v>
      </c>
      <c r="AO18" s="48" t="s">
        <v>217</v>
      </c>
      <c r="AP18" s="48" t="s">
        <v>217</v>
      </c>
      <c r="AQ18" s="48"/>
      <c r="AR18" s="48"/>
      <c r="AS18" s="48"/>
      <c r="AT18" s="48"/>
    </row>
    <row r="19" ht="45.0" customHeight="1">
      <c r="A19" s="49">
        <v>1904.0</v>
      </c>
      <c r="B19" s="44" t="s">
        <v>36</v>
      </c>
      <c r="C19" s="75" t="s">
        <v>535</v>
      </c>
      <c r="D19" s="67" t="s">
        <v>536</v>
      </c>
      <c r="E19" s="44" t="s">
        <v>537</v>
      </c>
      <c r="F19" s="43" t="s">
        <v>138</v>
      </c>
      <c r="G19" s="50" t="s">
        <v>132</v>
      </c>
      <c r="H19" s="43" t="s">
        <v>123</v>
      </c>
      <c r="I19" s="43" t="s">
        <v>296</v>
      </c>
      <c r="J19" s="58" t="s">
        <v>502</v>
      </c>
      <c r="K19" s="47"/>
      <c r="L19" s="47"/>
      <c r="M19" s="47"/>
      <c r="N19" s="43">
        <v>76343.2</v>
      </c>
      <c r="O19" s="47">
        <f>76343.2*2</f>
        <v>152686.4</v>
      </c>
      <c r="P19" s="43">
        <v>2.0</v>
      </c>
      <c r="Q19" s="48" t="s">
        <v>215</v>
      </c>
      <c r="R19" s="47"/>
      <c r="S19" s="48" t="s">
        <v>538</v>
      </c>
      <c r="T19" s="47"/>
      <c r="U19" s="47"/>
      <c r="V19" s="47"/>
      <c r="W19" s="47"/>
      <c r="X19" s="48"/>
      <c r="Y19" s="48" t="s">
        <v>510</v>
      </c>
      <c r="Z19" s="47"/>
      <c r="AA19" s="47"/>
      <c r="AB19" s="47"/>
      <c r="AC19" s="47"/>
      <c r="AD19" s="47"/>
      <c r="AE19" s="48" t="s">
        <v>217</v>
      </c>
      <c r="AF19" s="48" t="s">
        <v>539</v>
      </c>
      <c r="AG19" s="47"/>
      <c r="AH19" s="47"/>
      <c r="AI19" s="47"/>
      <c r="AJ19" s="47"/>
      <c r="AK19" s="47"/>
      <c r="AL19" s="48" t="s">
        <v>217</v>
      </c>
      <c r="AM19" s="48" t="s">
        <v>217</v>
      </c>
      <c r="AN19" s="47"/>
      <c r="AO19" s="47"/>
      <c r="AP19" s="47"/>
      <c r="AQ19" s="47"/>
      <c r="AR19" s="47"/>
      <c r="AS19" s="47"/>
      <c r="AT19" s="47"/>
    </row>
    <row r="20" ht="45.0" customHeight="1">
      <c r="A20" s="49">
        <v>1907.0</v>
      </c>
      <c r="B20" s="44" t="s">
        <v>42</v>
      </c>
      <c r="C20" s="93" t="s">
        <v>43</v>
      </c>
      <c r="D20" s="44" t="s">
        <v>540</v>
      </c>
      <c r="E20" s="93" t="s">
        <v>43</v>
      </c>
      <c r="F20" s="43" t="s">
        <v>138</v>
      </c>
      <c r="G20" s="50" t="s">
        <v>132</v>
      </c>
      <c r="H20" s="43" t="s">
        <v>123</v>
      </c>
      <c r="I20" s="43" t="s">
        <v>296</v>
      </c>
      <c r="J20" s="51" t="s">
        <v>508</v>
      </c>
      <c r="K20" s="47"/>
      <c r="L20" s="47"/>
      <c r="M20" s="47"/>
      <c r="N20" s="48" t="s">
        <v>215</v>
      </c>
      <c r="O20" s="48" t="s">
        <v>215</v>
      </c>
      <c r="P20" s="48" t="s">
        <v>215</v>
      </c>
      <c r="Q20" s="48" t="s">
        <v>215</v>
      </c>
      <c r="R20" s="47"/>
      <c r="S20" s="48" t="s">
        <v>216</v>
      </c>
      <c r="T20" s="47"/>
      <c r="U20" s="47"/>
      <c r="V20" s="47"/>
      <c r="W20" s="47"/>
      <c r="X20" s="48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8" t="s">
        <v>217</v>
      </c>
      <c r="AR20" s="48" t="s">
        <v>217</v>
      </c>
      <c r="AS20" s="48" t="s">
        <v>217</v>
      </c>
      <c r="AT20" s="48"/>
    </row>
    <row r="21" ht="45.0" customHeight="1">
      <c r="A21" s="49">
        <v>1912.0</v>
      </c>
      <c r="B21" s="44" t="s">
        <v>52</v>
      </c>
      <c r="C21" s="98" t="s">
        <v>52</v>
      </c>
      <c r="D21" s="44" t="s">
        <v>541</v>
      </c>
      <c r="E21" s="44" t="s">
        <v>542</v>
      </c>
      <c r="F21" s="43" t="s">
        <v>138</v>
      </c>
      <c r="G21" s="50" t="s">
        <v>132</v>
      </c>
      <c r="H21" s="43" t="s">
        <v>128</v>
      </c>
      <c r="I21" s="43" t="s">
        <v>360</v>
      </c>
      <c r="J21" s="43" t="s">
        <v>130</v>
      </c>
      <c r="K21" s="47"/>
      <c r="L21" s="47"/>
      <c r="M21" s="47"/>
      <c r="N21" s="43">
        <v>2378.0</v>
      </c>
      <c r="O21" s="43">
        <v>16646.0</v>
      </c>
      <c r="P21" s="43">
        <v>7.0</v>
      </c>
      <c r="Q21" s="48" t="s">
        <v>215</v>
      </c>
      <c r="R21" s="47"/>
      <c r="S21" s="43" t="s">
        <v>543</v>
      </c>
      <c r="T21" s="47"/>
      <c r="U21" s="47"/>
      <c r="V21" s="48">
        <v>75.48</v>
      </c>
      <c r="W21" s="48" t="s">
        <v>544</v>
      </c>
      <c r="X21" s="48" t="s">
        <v>545</v>
      </c>
      <c r="Y21" s="47"/>
      <c r="Z21" s="47"/>
      <c r="AA21" s="47"/>
      <c r="AB21" s="47"/>
      <c r="AC21" s="47"/>
      <c r="AD21" s="48" t="s">
        <v>217</v>
      </c>
      <c r="AE21" s="48" t="s">
        <v>217</v>
      </c>
      <c r="AF21" s="43">
        <v>247.14</v>
      </c>
      <c r="AG21" s="47"/>
      <c r="AH21" s="47"/>
      <c r="AI21" s="47"/>
      <c r="AJ21" s="47"/>
      <c r="AK21" s="47"/>
      <c r="AL21" s="43">
        <v>70.79</v>
      </c>
      <c r="AM21" s="47"/>
      <c r="AN21" s="47"/>
      <c r="AO21" s="48">
        <f>23.55+30.7</f>
        <v>54.25</v>
      </c>
      <c r="AP21" s="47"/>
      <c r="AQ21" s="47"/>
      <c r="AR21" s="47"/>
      <c r="AS21" s="47"/>
      <c r="AT21" s="48" t="s">
        <v>546</v>
      </c>
    </row>
    <row r="22" ht="45.0" customHeight="1">
      <c r="B22" s="70"/>
      <c r="C22" s="70"/>
      <c r="D22" s="70"/>
      <c r="E22" s="70"/>
      <c r="X22" s="85"/>
    </row>
    <row r="23" ht="45.0" customHeight="1">
      <c r="B23" s="70"/>
      <c r="C23" s="70"/>
      <c r="D23" s="70"/>
      <c r="E23" s="70"/>
      <c r="X23" s="85"/>
    </row>
    <row r="24" ht="45.0" customHeight="1">
      <c r="B24" s="70"/>
      <c r="C24" s="70"/>
      <c r="D24" s="70"/>
      <c r="E24" s="70"/>
      <c r="X24" s="85"/>
    </row>
    <row r="25" ht="45.0" customHeight="1">
      <c r="B25" s="70"/>
      <c r="C25" s="70"/>
      <c r="D25" s="70"/>
      <c r="E25" s="70"/>
      <c r="X25" s="85"/>
    </row>
    <row r="26" ht="45.0" customHeight="1">
      <c r="B26" s="70"/>
      <c r="C26" s="70"/>
      <c r="D26" s="70"/>
      <c r="E26" s="70"/>
      <c r="X26" s="85"/>
    </row>
    <row r="27" ht="45.0" customHeight="1">
      <c r="B27" s="70"/>
      <c r="C27" s="70"/>
      <c r="D27" s="70"/>
      <c r="E27" s="70"/>
      <c r="X27" s="85"/>
    </row>
    <row r="28" ht="45.0" customHeight="1">
      <c r="B28" s="70"/>
      <c r="C28" s="70"/>
      <c r="D28" s="70"/>
      <c r="E28" s="70"/>
      <c r="X28" s="85"/>
    </row>
    <row r="29" ht="45.0" customHeight="1">
      <c r="B29" s="70"/>
      <c r="C29" s="70"/>
      <c r="D29" s="70"/>
      <c r="E29" s="70"/>
      <c r="X29" s="85"/>
    </row>
    <row r="30" ht="45.0" customHeight="1">
      <c r="B30" s="70"/>
      <c r="C30" s="70"/>
      <c r="D30" s="70"/>
      <c r="E30" s="70"/>
      <c r="X30" s="85"/>
    </row>
    <row r="31" ht="45.0" customHeight="1">
      <c r="B31" s="70"/>
      <c r="C31" s="70"/>
      <c r="D31" s="70"/>
      <c r="E31" s="70"/>
      <c r="X31" s="85"/>
    </row>
    <row r="32" ht="45.0" customHeight="1">
      <c r="B32" s="70"/>
      <c r="C32" s="70"/>
      <c r="D32" s="70"/>
      <c r="E32" s="70"/>
      <c r="X32" s="85"/>
    </row>
    <row r="33" ht="45.0" customHeight="1">
      <c r="B33" s="70"/>
      <c r="C33" s="70"/>
      <c r="D33" s="70"/>
      <c r="E33" s="70"/>
      <c r="X33" s="85"/>
    </row>
    <row r="34" ht="45.0" customHeight="1">
      <c r="B34" s="70"/>
      <c r="C34" s="70"/>
      <c r="D34" s="70"/>
      <c r="E34" s="70"/>
      <c r="X34" s="85"/>
    </row>
    <row r="35" ht="45.0" customHeight="1">
      <c r="B35" s="70"/>
      <c r="C35" s="70"/>
      <c r="D35" s="70"/>
      <c r="E35" s="70"/>
      <c r="X35" s="85"/>
    </row>
    <row r="36" ht="45.0" customHeight="1">
      <c r="B36" s="70"/>
      <c r="C36" s="70"/>
      <c r="D36" s="70"/>
      <c r="E36" s="70"/>
      <c r="X36" s="85"/>
    </row>
    <row r="37" ht="45.0" customHeight="1">
      <c r="B37" s="70"/>
      <c r="C37" s="70"/>
      <c r="D37" s="70"/>
      <c r="E37" s="70"/>
      <c r="X37" s="85"/>
    </row>
    <row r="38" ht="45.0" customHeight="1">
      <c r="B38" s="70"/>
      <c r="C38" s="70"/>
      <c r="D38" s="70"/>
      <c r="E38" s="70"/>
      <c r="X38" s="85"/>
    </row>
    <row r="39" ht="45.0" customHeight="1">
      <c r="B39" s="70"/>
      <c r="C39" s="70"/>
      <c r="D39" s="70"/>
      <c r="E39" s="70"/>
      <c r="X39" s="85"/>
    </row>
    <row r="40" ht="45.0" customHeight="1">
      <c r="B40" s="70"/>
      <c r="C40" s="70"/>
      <c r="D40" s="70"/>
      <c r="E40" s="70"/>
      <c r="X40" s="85"/>
    </row>
    <row r="41" ht="45.0" customHeight="1">
      <c r="B41" s="70"/>
      <c r="C41" s="70"/>
      <c r="D41" s="70"/>
      <c r="E41" s="70"/>
      <c r="X41" s="85"/>
    </row>
    <row r="42" ht="45.0" customHeight="1">
      <c r="B42" s="70"/>
      <c r="C42" s="70"/>
      <c r="D42" s="70"/>
      <c r="E42" s="70"/>
      <c r="X42" s="85"/>
    </row>
    <row r="43" ht="45.0" customHeight="1">
      <c r="B43" s="70"/>
      <c r="C43" s="70"/>
      <c r="D43" s="70"/>
      <c r="E43" s="70"/>
      <c r="X43" s="85"/>
    </row>
    <row r="44" ht="45.0" customHeight="1">
      <c r="B44" s="70"/>
      <c r="C44" s="70"/>
      <c r="D44" s="70"/>
      <c r="E44" s="70"/>
      <c r="X44" s="85"/>
    </row>
    <row r="45">
      <c r="B45" s="70"/>
      <c r="C45" s="70"/>
      <c r="D45" s="70"/>
      <c r="E45" s="70"/>
      <c r="X45" s="85"/>
    </row>
    <row r="46">
      <c r="B46" s="70"/>
      <c r="C46" s="70"/>
      <c r="D46" s="70"/>
      <c r="E46" s="70"/>
      <c r="X46" s="85"/>
    </row>
    <row r="47">
      <c r="B47" s="70"/>
      <c r="C47" s="70"/>
      <c r="D47" s="70"/>
      <c r="E47" s="70"/>
      <c r="X47" s="85"/>
    </row>
    <row r="48">
      <c r="B48" s="70"/>
      <c r="C48" s="70"/>
      <c r="D48" s="70"/>
      <c r="E48" s="70"/>
      <c r="X48" s="85"/>
    </row>
    <row r="49">
      <c r="B49" s="70"/>
      <c r="C49" s="70"/>
      <c r="D49" s="70"/>
      <c r="E49" s="70"/>
      <c r="X49" s="85"/>
    </row>
    <row r="50">
      <c r="B50" s="70"/>
      <c r="C50" s="70"/>
      <c r="D50" s="70"/>
      <c r="E50" s="70"/>
      <c r="X50" s="85"/>
    </row>
    <row r="51">
      <c r="B51" s="70"/>
      <c r="C51" s="70"/>
      <c r="D51" s="70"/>
      <c r="E51" s="70"/>
      <c r="X51" s="85"/>
    </row>
    <row r="52">
      <c r="B52" s="70"/>
      <c r="C52" s="70"/>
      <c r="D52" s="70"/>
      <c r="E52" s="70"/>
      <c r="X52" s="85"/>
    </row>
    <row r="53">
      <c r="B53" s="70"/>
      <c r="C53" s="70"/>
      <c r="D53" s="70"/>
      <c r="E53" s="70"/>
      <c r="X53" s="85"/>
    </row>
    <row r="54">
      <c r="B54" s="70"/>
      <c r="C54" s="70"/>
      <c r="D54" s="70"/>
      <c r="E54" s="70"/>
      <c r="X54" s="85"/>
    </row>
    <row r="55">
      <c r="B55" s="70"/>
      <c r="C55" s="70"/>
      <c r="D55" s="70"/>
      <c r="E55" s="70"/>
      <c r="X55" s="85"/>
    </row>
    <row r="56">
      <c r="B56" s="70"/>
      <c r="C56" s="70"/>
      <c r="D56" s="70"/>
      <c r="E56" s="70"/>
      <c r="X56" s="85"/>
    </row>
    <row r="57">
      <c r="B57" s="70"/>
      <c r="C57" s="70"/>
      <c r="D57" s="70"/>
      <c r="E57" s="70"/>
      <c r="X57" s="85"/>
    </row>
    <row r="58">
      <c r="B58" s="70"/>
      <c r="C58" s="70"/>
      <c r="D58" s="70"/>
      <c r="E58" s="70"/>
      <c r="X58" s="85"/>
    </row>
    <row r="59">
      <c r="B59" s="70"/>
      <c r="C59" s="70"/>
      <c r="D59" s="70"/>
      <c r="E59" s="70"/>
      <c r="X59" s="85"/>
    </row>
    <row r="60">
      <c r="B60" s="70"/>
      <c r="C60" s="70"/>
      <c r="D60" s="70"/>
      <c r="E60" s="70"/>
      <c r="X60" s="85"/>
    </row>
    <row r="61">
      <c r="B61" s="70"/>
      <c r="C61" s="70"/>
      <c r="D61" s="70"/>
      <c r="E61" s="70"/>
      <c r="X61" s="85"/>
    </row>
    <row r="62">
      <c r="B62" s="70"/>
      <c r="C62" s="70"/>
      <c r="D62" s="70"/>
      <c r="E62" s="70"/>
      <c r="X62" s="85"/>
    </row>
    <row r="63">
      <c r="B63" s="70"/>
      <c r="C63" s="70"/>
      <c r="D63" s="70"/>
      <c r="E63" s="70"/>
      <c r="X63" s="85"/>
    </row>
    <row r="64">
      <c r="B64" s="70"/>
      <c r="C64" s="70"/>
      <c r="D64" s="70"/>
      <c r="E64" s="70"/>
      <c r="X64" s="85"/>
    </row>
    <row r="65">
      <c r="B65" s="70"/>
      <c r="C65" s="70"/>
      <c r="D65" s="70"/>
      <c r="E65" s="70"/>
      <c r="X65" s="85"/>
    </row>
    <row r="66">
      <c r="B66" s="70"/>
      <c r="C66" s="70"/>
      <c r="D66" s="70"/>
      <c r="E66" s="70"/>
      <c r="X66" s="85"/>
    </row>
    <row r="67">
      <c r="B67" s="70"/>
      <c r="C67" s="70"/>
      <c r="D67" s="70"/>
      <c r="E67" s="70"/>
      <c r="X67" s="85"/>
    </row>
    <row r="68">
      <c r="B68" s="70"/>
      <c r="C68" s="70"/>
      <c r="D68" s="70"/>
      <c r="E68" s="70"/>
      <c r="X68" s="85"/>
    </row>
    <row r="69">
      <c r="B69" s="70"/>
      <c r="C69" s="70"/>
      <c r="D69" s="70"/>
      <c r="E69" s="70"/>
      <c r="X69" s="85"/>
    </row>
    <row r="70">
      <c r="B70" s="70"/>
      <c r="C70" s="70"/>
      <c r="D70" s="70"/>
      <c r="E70" s="70"/>
      <c r="X70" s="85"/>
    </row>
    <row r="71">
      <c r="B71" s="70"/>
      <c r="C71" s="70"/>
      <c r="D71" s="70"/>
      <c r="E71" s="70"/>
      <c r="X71" s="85"/>
    </row>
    <row r="72">
      <c r="B72" s="70"/>
      <c r="C72" s="70"/>
      <c r="D72" s="70"/>
      <c r="E72" s="70"/>
      <c r="X72" s="85"/>
    </row>
    <row r="73">
      <c r="B73" s="70"/>
      <c r="C73" s="70"/>
      <c r="D73" s="70"/>
      <c r="E73" s="70"/>
      <c r="X73" s="85"/>
    </row>
    <row r="74">
      <c r="B74" s="70"/>
      <c r="C74" s="70"/>
      <c r="D74" s="70"/>
      <c r="E74" s="70"/>
      <c r="X74" s="85"/>
    </row>
    <row r="75">
      <c r="B75" s="70"/>
      <c r="C75" s="70"/>
      <c r="D75" s="70"/>
      <c r="E75" s="70"/>
      <c r="X75" s="85"/>
    </row>
    <row r="76">
      <c r="B76" s="70"/>
      <c r="C76" s="70"/>
      <c r="D76" s="70"/>
      <c r="E76" s="70"/>
      <c r="X76" s="85"/>
    </row>
    <row r="77">
      <c r="B77" s="70"/>
      <c r="C77" s="70"/>
      <c r="D77" s="70"/>
      <c r="E77" s="70"/>
      <c r="X77" s="85"/>
    </row>
    <row r="78">
      <c r="B78" s="70"/>
      <c r="C78" s="70"/>
      <c r="D78" s="70"/>
      <c r="E78" s="70"/>
      <c r="X78" s="85"/>
    </row>
    <row r="79">
      <c r="B79" s="70"/>
      <c r="C79" s="70"/>
      <c r="D79" s="70"/>
      <c r="E79" s="70"/>
      <c r="X79" s="85"/>
    </row>
    <row r="80">
      <c r="B80" s="70"/>
      <c r="C80" s="70"/>
      <c r="D80" s="70"/>
      <c r="E80" s="70"/>
      <c r="X80" s="85"/>
    </row>
    <row r="81">
      <c r="B81" s="70"/>
      <c r="C81" s="70"/>
      <c r="D81" s="70"/>
      <c r="E81" s="70"/>
      <c r="X81" s="85"/>
    </row>
    <row r="82">
      <c r="B82" s="70"/>
      <c r="C82" s="70"/>
      <c r="D82" s="70"/>
      <c r="E82" s="70"/>
      <c r="X82" s="85"/>
    </row>
    <row r="83">
      <c r="B83" s="70"/>
      <c r="C83" s="70"/>
      <c r="D83" s="70"/>
      <c r="E83" s="70"/>
      <c r="X83" s="85"/>
    </row>
    <row r="84">
      <c r="B84" s="70"/>
      <c r="C84" s="70"/>
      <c r="D84" s="70"/>
      <c r="E84" s="70"/>
      <c r="X84" s="85"/>
    </row>
    <row r="85">
      <c r="B85" s="70"/>
      <c r="C85" s="70"/>
      <c r="D85" s="70"/>
      <c r="E85" s="70"/>
      <c r="X85" s="85"/>
    </row>
    <row r="86">
      <c r="B86" s="70"/>
      <c r="C86" s="70"/>
      <c r="D86" s="70"/>
      <c r="E86" s="70"/>
      <c r="X86" s="85"/>
    </row>
    <row r="87">
      <c r="B87" s="70"/>
      <c r="C87" s="70"/>
      <c r="D87" s="70"/>
      <c r="E87" s="70"/>
      <c r="X87" s="85"/>
    </row>
    <row r="88">
      <c r="B88" s="70"/>
      <c r="C88" s="70"/>
      <c r="D88" s="70"/>
      <c r="E88" s="70"/>
      <c r="X88" s="85"/>
    </row>
    <row r="89">
      <c r="B89" s="70"/>
      <c r="C89" s="70"/>
      <c r="D89" s="70"/>
      <c r="E89" s="70"/>
      <c r="X89" s="85"/>
    </row>
    <row r="90">
      <c r="B90" s="70"/>
      <c r="C90" s="70"/>
      <c r="D90" s="70"/>
      <c r="E90" s="70"/>
      <c r="X90" s="85"/>
    </row>
    <row r="91">
      <c r="B91" s="70"/>
      <c r="C91" s="70"/>
      <c r="D91" s="70"/>
      <c r="E91" s="70"/>
      <c r="X91" s="85"/>
    </row>
    <row r="92">
      <c r="B92" s="70"/>
      <c r="C92" s="70"/>
      <c r="D92" s="70"/>
      <c r="E92" s="70"/>
      <c r="X92" s="85"/>
    </row>
    <row r="93">
      <c r="B93" s="70"/>
      <c r="C93" s="70"/>
      <c r="D93" s="70"/>
      <c r="E93" s="70"/>
      <c r="X93" s="85"/>
    </row>
    <row r="94">
      <c r="B94" s="70"/>
      <c r="C94" s="70"/>
      <c r="D94" s="70"/>
      <c r="E94" s="70"/>
      <c r="X94" s="85"/>
    </row>
    <row r="95">
      <c r="B95" s="70"/>
      <c r="C95" s="70"/>
      <c r="D95" s="70"/>
      <c r="E95" s="70"/>
      <c r="X95" s="85"/>
    </row>
    <row r="96">
      <c r="B96" s="70"/>
      <c r="C96" s="70"/>
      <c r="D96" s="70"/>
      <c r="E96" s="70"/>
      <c r="X96" s="85"/>
    </row>
    <row r="97">
      <c r="B97" s="70"/>
      <c r="C97" s="70"/>
      <c r="D97" s="70"/>
      <c r="E97" s="70"/>
      <c r="X97" s="85"/>
    </row>
    <row r="98">
      <c r="B98" s="70"/>
      <c r="C98" s="70"/>
      <c r="D98" s="70"/>
      <c r="E98" s="70"/>
      <c r="X98" s="85"/>
    </row>
    <row r="99">
      <c r="B99" s="70"/>
      <c r="C99" s="70"/>
      <c r="D99" s="70"/>
      <c r="E99" s="70"/>
      <c r="X99" s="85"/>
    </row>
    <row r="100">
      <c r="B100" s="70"/>
      <c r="C100" s="70"/>
      <c r="D100" s="70"/>
      <c r="E100" s="70"/>
      <c r="X100" s="85"/>
    </row>
    <row r="101">
      <c r="B101" s="70"/>
      <c r="C101" s="70"/>
      <c r="D101" s="70"/>
      <c r="E101" s="70"/>
      <c r="X101" s="85"/>
    </row>
    <row r="102">
      <c r="B102" s="70"/>
      <c r="C102" s="70"/>
      <c r="D102" s="70"/>
      <c r="E102" s="70"/>
      <c r="X102" s="85"/>
    </row>
    <row r="103">
      <c r="B103" s="70"/>
      <c r="C103" s="70"/>
      <c r="D103" s="70"/>
      <c r="E103" s="70"/>
      <c r="X103" s="85"/>
    </row>
    <row r="104">
      <c r="B104" s="70"/>
      <c r="C104" s="70"/>
      <c r="D104" s="70"/>
      <c r="E104" s="70"/>
      <c r="X104" s="85"/>
    </row>
    <row r="105">
      <c r="B105" s="70"/>
      <c r="C105" s="70"/>
      <c r="D105" s="70"/>
      <c r="E105" s="70"/>
      <c r="X105" s="85"/>
    </row>
    <row r="106">
      <c r="B106" s="70"/>
      <c r="C106" s="70"/>
      <c r="D106" s="70"/>
      <c r="E106" s="70"/>
      <c r="X106" s="85"/>
    </row>
    <row r="107">
      <c r="B107" s="70"/>
      <c r="C107" s="70"/>
      <c r="D107" s="70"/>
      <c r="E107" s="70"/>
      <c r="X107" s="85"/>
    </row>
    <row r="108">
      <c r="B108" s="70"/>
      <c r="C108" s="70"/>
      <c r="D108" s="70"/>
      <c r="E108" s="70"/>
      <c r="X108" s="85"/>
    </row>
    <row r="109">
      <c r="B109" s="70"/>
      <c r="C109" s="70"/>
      <c r="D109" s="70"/>
      <c r="E109" s="70"/>
      <c r="X109" s="85"/>
    </row>
    <row r="110">
      <c r="B110" s="70"/>
      <c r="C110" s="70"/>
      <c r="D110" s="70"/>
      <c r="E110" s="70"/>
      <c r="X110" s="85"/>
    </row>
    <row r="111">
      <c r="B111" s="70"/>
      <c r="C111" s="70"/>
      <c r="D111" s="70"/>
      <c r="E111" s="70"/>
      <c r="X111" s="85"/>
    </row>
    <row r="112">
      <c r="B112" s="70"/>
      <c r="C112" s="70"/>
      <c r="D112" s="70"/>
      <c r="E112" s="70"/>
      <c r="X112" s="85"/>
    </row>
    <row r="113">
      <c r="B113" s="70"/>
      <c r="C113" s="70"/>
      <c r="D113" s="70"/>
      <c r="E113" s="70"/>
      <c r="X113" s="85"/>
    </row>
    <row r="114">
      <c r="B114" s="70"/>
      <c r="C114" s="70"/>
      <c r="D114" s="70"/>
      <c r="E114" s="70"/>
      <c r="X114" s="85"/>
    </row>
    <row r="115">
      <c r="B115" s="70"/>
      <c r="C115" s="70"/>
      <c r="D115" s="70"/>
      <c r="E115" s="70"/>
      <c r="X115" s="85"/>
    </row>
    <row r="116">
      <c r="B116" s="70"/>
      <c r="C116" s="70"/>
      <c r="D116" s="70"/>
      <c r="E116" s="70"/>
      <c r="X116" s="85"/>
    </row>
    <row r="117">
      <c r="B117" s="70"/>
      <c r="C117" s="70"/>
      <c r="D117" s="70"/>
      <c r="E117" s="70"/>
      <c r="X117" s="85"/>
    </row>
    <row r="118">
      <c r="B118" s="70"/>
      <c r="C118" s="70"/>
      <c r="D118" s="70"/>
      <c r="E118" s="70"/>
      <c r="X118" s="85"/>
    </row>
    <row r="119">
      <c r="B119" s="70"/>
      <c r="C119" s="70"/>
      <c r="D119" s="70"/>
      <c r="E119" s="70"/>
      <c r="X119" s="85"/>
    </row>
    <row r="120">
      <c r="B120" s="70"/>
      <c r="C120" s="70"/>
      <c r="D120" s="70"/>
      <c r="E120" s="70"/>
      <c r="X120" s="85"/>
    </row>
    <row r="121">
      <c r="B121" s="70"/>
      <c r="C121" s="70"/>
      <c r="D121" s="70"/>
      <c r="E121" s="70"/>
      <c r="X121" s="85"/>
    </row>
    <row r="122">
      <c r="B122" s="70"/>
      <c r="C122" s="70"/>
      <c r="D122" s="70"/>
      <c r="E122" s="70"/>
      <c r="X122" s="85"/>
    </row>
    <row r="123">
      <c r="B123" s="70"/>
      <c r="C123" s="70"/>
      <c r="D123" s="70"/>
      <c r="E123" s="70"/>
      <c r="X123" s="85"/>
    </row>
    <row r="124">
      <c r="B124" s="70"/>
      <c r="C124" s="70"/>
      <c r="D124" s="70"/>
      <c r="E124" s="70"/>
      <c r="X124" s="85"/>
    </row>
    <row r="125">
      <c r="B125" s="70"/>
      <c r="C125" s="70"/>
      <c r="D125" s="70"/>
      <c r="E125" s="70"/>
      <c r="X125" s="85"/>
    </row>
    <row r="126">
      <c r="B126" s="70"/>
      <c r="C126" s="70"/>
      <c r="D126" s="70"/>
      <c r="E126" s="70"/>
      <c r="X126" s="85"/>
    </row>
    <row r="127">
      <c r="B127" s="70"/>
      <c r="C127" s="70"/>
      <c r="D127" s="70"/>
      <c r="E127" s="70"/>
      <c r="X127" s="85"/>
    </row>
    <row r="128">
      <c r="B128" s="70"/>
      <c r="C128" s="70"/>
      <c r="D128" s="70"/>
      <c r="E128" s="70"/>
      <c r="X128" s="85"/>
    </row>
    <row r="129">
      <c r="B129" s="70"/>
      <c r="C129" s="70"/>
      <c r="D129" s="70"/>
      <c r="E129" s="70"/>
      <c r="X129" s="85"/>
    </row>
    <row r="130">
      <c r="B130" s="70"/>
      <c r="C130" s="70"/>
      <c r="D130" s="70"/>
      <c r="E130" s="70"/>
      <c r="X130" s="85"/>
    </row>
    <row r="131">
      <c r="B131" s="70"/>
      <c r="C131" s="70"/>
      <c r="D131" s="70"/>
      <c r="E131" s="70"/>
      <c r="X131" s="85"/>
    </row>
    <row r="132">
      <c r="B132" s="70"/>
      <c r="C132" s="70"/>
      <c r="D132" s="70"/>
      <c r="E132" s="70"/>
      <c r="X132" s="85"/>
    </row>
    <row r="133">
      <c r="B133" s="70"/>
      <c r="C133" s="70"/>
      <c r="D133" s="70"/>
      <c r="E133" s="70"/>
      <c r="X133" s="85"/>
    </row>
    <row r="134">
      <c r="B134" s="70"/>
      <c r="C134" s="70"/>
      <c r="D134" s="70"/>
      <c r="E134" s="70"/>
      <c r="X134" s="85"/>
    </row>
    <row r="135">
      <c r="B135" s="70"/>
      <c r="C135" s="70"/>
      <c r="D135" s="70"/>
      <c r="E135" s="70"/>
      <c r="X135" s="85"/>
    </row>
    <row r="136">
      <c r="B136" s="70"/>
      <c r="C136" s="70"/>
      <c r="D136" s="70"/>
      <c r="E136" s="70"/>
      <c r="X136" s="85"/>
    </row>
    <row r="137">
      <c r="B137" s="70"/>
      <c r="C137" s="70"/>
      <c r="D137" s="70"/>
      <c r="E137" s="70"/>
      <c r="X137" s="85"/>
    </row>
    <row r="138">
      <c r="B138" s="70"/>
      <c r="C138" s="70"/>
      <c r="D138" s="70"/>
      <c r="E138" s="70"/>
      <c r="X138" s="85"/>
    </row>
    <row r="139">
      <c r="B139" s="70"/>
      <c r="C139" s="70"/>
      <c r="D139" s="70"/>
      <c r="E139" s="70"/>
      <c r="X139" s="85"/>
    </row>
    <row r="140">
      <c r="B140" s="70"/>
      <c r="C140" s="70"/>
      <c r="D140" s="70"/>
      <c r="E140" s="70"/>
      <c r="X140" s="85"/>
    </row>
    <row r="141">
      <c r="B141" s="70"/>
      <c r="C141" s="70"/>
      <c r="D141" s="70"/>
      <c r="E141" s="70"/>
      <c r="X141" s="85"/>
    </row>
    <row r="142">
      <c r="B142" s="70"/>
      <c r="C142" s="70"/>
      <c r="D142" s="70"/>
      <c r="E142" s="70"/>
      <c r="X142" s="85"/>
    </row>
    <row r="143">
      <c r="B143" s="70"/>
      <c r="C143" s="70"/>
      <c r="D143" s="70"/>
      <c r="E143" s="70"/>
      <c r="X143" s="85"/>
    </row>
    <row r="144">
      <c r="B144" s="70"/>
      <c r="C144" s="70"/>
      <c r="D144" s="70"/>
      <c r="E144" s="70"/>
      <c r="X144" s="85"/>
    </row>
    <row r="145">
      <c r="B145" s="70"/>
      <c r="C145" s="70"/>
      <c r="D145" s="70"/>
      <c r="E145" s="70"/>
      <c r="X145" s="85"/>
    </row>
    <row r="146">
      <c r="B146" s="70"/>
      <c r="C146" s="70"/>
      <c r="D146" s="70"/>
      <c r="E146" s="70"/>
      <c r="X146" s="85"/>
    </row>
    <row r="147">
      <c r="B147" s="70"/>
      <c r="C147" s="70"/>
      <c r="D147" s="70"/>
      <c r="E147" s="70"/>
      <c r="X147" s="85"/>
    </row>
    <row r="148">
      <c r="B148" s="70"/>
      <c r="C148" s="70"/>
      <c r="D148" s="70"/>
      <c r="E148" s="70"/>
      <c r="X148" s="85"/>
    </row>
    <row r="149">
      <c r="B149" s="70"/>
      <c r="C149" s="70"/>
      <c r="D149" s="70"/>
      <c r="E149" s="70"/>
      <c r="X149" s="85"/>
    </row>
    <row r="150">
      <c r="B150" s="70"/>
      <c r="C150" s="70"/>
      <c r="D150" s="70"/>
      <c r="E150" s="70"/>
      <c r="X150" s="85"/>
    </row>
    <row r="151">
      <c r="B151" s="70"/>
      <c r="C151" s="70"/>
      <c r="D151" s="70"/>
      <c r="E151" s="70"/>
      <c r="X151" s="85"/>
    </row>
    <row r="152">
      <c r="B152" s="70"/>
      <c r="C152" s="70"/>
      <c r="D152" s="70"/>
      <c r="E152" s="70"/>
      <c r="X152" s="85"/>
    </row>
    <row r="153">
      <c r="B153" s="70"/>
      <c r="C153" s="70"/>
      <c r="D153" s="70"/>
      <c r="E153" s="70"/>
      <c r="X153" s="85"/>
    </row>
    <row r="154">
      <c r="B154" s="70"/>
      <c r="C154" s="70"/>
      <c r="D154" s="70"/>
      <c r="E154" s="70"/>
      <c r="X154" s="85"/>
    </row>
    <row r="155">
      <c r="B155" s="70"/>
      <c r="C155" s="70"/>
      <c r="D155" s="70"/>
      <c r="E155" s="70"/>
      <c r="X155" s="85"/>
    </row>
    <row r="156">
      <c r="B156" s="70"/>
      <c r="C156" s="70"/>
      <c r="D156" s="70"/>
      <c r="E156" s="70"/>
      <c r="X156" s="85"/>
    </row>
    <row r="157">
      <c r="B157" s="70"/>
      <c r="C157" s="70"/>
      <c r="D157" s="70"/>
      <c r="E157" s="70"/>
      <c r="X157" s="85"/>
    </row>
    <row r="158">
      <c r="B158" s="70"/>
      <c r="C158" s="70"/>
      <c r="D158" s="70"/>
      <c r="E158" s="70"/>
      <c r="X158" s="85"/>
    </row>
    <row r="159">
      <c r="B159" s="70"/>
      <c r="C159" s="70"/>
      <c r="D159" s="70"/>
      <c r="E159" s="70"/>
      <c r="X159" s="85"/>
    </row>
    <row r="160">
      <c r="B160" s="70"/>
      <c r="C160" s="70"/>
      <c r="D160" s="70"/>
      <c r="E160" s="70"/>
      <c r="X160" s="85"/>
    </row>
    <row r="161">
      <c r="B161" s="70"/>
      <c r="C161" s="70"/>
      <c r="D161" s="70"/>
      <c r="E161" s="70"/>
      <c r="X161" s="85"/>
    </row>
    <row r="162">
      <c r="B162" s="70"/>
      <c r="C162" s="70"/>
      <c r="D162" s="70"/>
      <c r="E162" s="70"/>
      <c r="X162" s="85"/>
    </row>
    <row r="163">
      <c r="B163" s="70"/>
      <c r="C163" s="70"/>
      <c r="D163" s="70"/>
      <c r="E163" s="70"/>
      <c r="X163" s="85"/>
    </row>
    <row r="164">
      <c r="B164" s="70"/>
      <c r="C164" s="70"/>
      <c r="D164" s="70"/>
      <c r="E164" s="70"/>
      <c r="X164" s="85"/>
    </row>
    <row r="165">
      <c r="B165" s="70"/>
      <c r="C165" s="70"/>
      <c r="D165" s="70"/>
      <c r="E165" s="70"/>
      <c r="X165" s="85"/>
    </row>
    <row r="166">
      <c r="B166" s="70"/>
      <c r="C166" s="70"/>
      <c r="D166" s="70"/>
      <c r="E166" s="70"/>
      <c r="X166" s="85"/>
    </row>
    <row r="167">
      <c r="B167" s="70"/>
      <c r="C167" s="70"/>
      <c r="D167" s="70"/>
      <c r="E167" s="70"/>
      <c r="X167" s="85"/>
    </row>
    <row r="168">
      <c r="B168" s="70"/>
      <c r="C168" s="70"/>
      <c r="D168" s="70"/>
      <c r="E168" s="70"/>
      <c r="X168" s="85"/>
    </row>
    <row r="169">
      <c r="B169" s="70"/>
      <c r="C169" s="70"/>
      <c r="D169" s="70"/>
      <c r="E169" s="70"/>
      <c r="X169" s="85"/>
    </row>
    <row r="170">
      <c r="B170" s="70"/>
      <c r="C170" s="70"/>
      <c r="D170" s="70"/>
      <c r="E170" s="70"/>
      <c r="X170" s="85"/>
    </row>
    <row r="171">
      <c r="B171" s="70"/>
      <c r="C171" s="70"/>
      <c r="D171" s="70"/>
      <c r="E171" s="70"/>
      <c r="X171" s="85"/>
    </row>
    <row r="172">
      <c r="B172" s="70"/>
      <c r="C172" s="70"/>
      <c r="D172" s="70"/>
      <c r="E172" s="70"/>
      <c r="X172" s="85"/>
    </row>
    <row r="173">
      <c r="B173" s="70"/>
      <c r="C173" s="70"/>
      <c r="D173" s="70"/>
      <c r="E173" s="70"/>
      <c r="X173" s="85"/>
    </row>
    <row r="174">
      <c r="B174" s="70"/>
      <c r="C174" s="70"/>
      <c r="D174" s="70"/>
      <c r="E174" s="70"/>
      <c r="X174" s="85"/>
    </row>
    <row r="175">
      <c r="B175" s="70"/>
      <c r="C175" s="70"/>
      <c r="D175" s="70"/>
      <c r="E175" s="70"/>
      <c r="X175" s="85"/>
    </row>
    <row r="176">
      <c r="B176" s="70"/>
      <c r="C176" s="70"/>
      <c r="D176" s="70"/>
      <c r="E176" s="70"/>
      <c r="X176" s="85"/>
    </row>
    <row r="177">
      <c r="B177" s="70"/>
      <c r="C177" s="70"/>
      <c r="D177" s="70"/>
      <c r="E177" s="70"/>
      <c r="X177" s="85"/>
    </row>
    <row r="178">
      <c r="B178" s="70"/>
      <c r="C178" s="70"/>
      <c r="D178" s="70"/>
      <c r="E178" s="70"/>
      <c r="X178" s="85"/>
    </row>
    <row r="179">
      <c r="B179" s="70"/>
      <c r="C179" s="70"/>
      <c r="D179" s="70"/>
      <c r="E179" s="70"/>
      <c r="X179" s="85"/>
    </row>
    <row r="180">
      <c r="B180" s="70"/>
      <c r="C180" s="70"/>
      <c r="D180" s="70"/>
      <c r="E180" s="70"/>
      <c r="X180" s="85"/>
    </row>
    <row r="181">
      <c r="B181" s="70"/>
      <c r="C181" s="70"/>
      <c r="D181" s="70"/>
      <c r="E181" s="70"/>
      <c r="X181" s="85"/>
    </row>
    <row r="182">
      <c r="B182" s="70"/>
      <c r="C182" s="70"/>
      <c r="D182" s="70"/>
      <c r="E182" s="70"/>
      <c r="X182" s="85"/>
    </row>
    <row r="183">
      <c r="B183" s="70"/>
      <c r="C183" s="70"/>
      <c r="D183" s="70"/>
      <c r="E183" s="70"/>
      <c r="X183" s="85"/>
    </row>
    <row r="184">
      <c r="B184" s="70"/>
      <c r="C184" s="70"/>
      <c r="D184" s="70"/>
      <c r="E184" s="70"/>
      <c r="X184" s="85"/>
    </row>
    <row r="185">
      <c r="B185" s="70"/>
      <c r="C185" s="70"/>
      <c r="D185" s="70"/>
      <c r="E185" s="70"/>
      <c r="X185" s="85"/>
    </row>
    <row r="186">
      <c r="B186" s="70"/>
      <c r="C186" s="70"/>
      <c r="D186" s="70"/>
      <c r="E186" s="70"/>
      <c r="X186" s="85"/>
    </row>
    <row r="187">
      <c r="B187" s="70"/>
      <c r="C187" s="70"/>
      <c r="D187" s="70"/>
      <c r="E187" s="70"/>
      <c r="X187" s="85"/>
    </row>
    <row r="188">
      <c r="B188" s="70"/>
      <c r="C188" s="70"/>
      <c r="D188" s="70"/>
      <c r="E188" s="70"/>
      <c r="X188" s="85"/>
    </row>
    <row r="189">
      <c r="B189" s="70"/>
      <c r="C189" s="70"/>
      <c r="D189" s="70"/>
      <c r="E189" s="70"/>
      <c r="X189" s="85"/>
    </row>
    <row r="190">
      <c r="B190" s="70"/>
      <c r="C190" s="70"/>
      <c r="D190" s="70"/>
      <c r="E190" s="70"/>
      <c r="X190" s="85"/>
    </row>
    <row r="191">
      <c r="B191" s="70"/>
      <c r="C191" s="70"/>
      <c r="D191" s="70"/>
      <c r="E191" s="70"/>
      <c r="X191" s="85"/>
    </row>
    <row r="192">
      <c r="B192" s="70"/>
      <c r="C192" s="70"/>
      <c r="D192" s="70"/>
      <c r="E192" s="70"/>
      <c r="X192" s="85"/>
    </row>
    <row r="193">
      <c r="B193" s="70"/>
      <c r="C193" s="70"/>
      <c r="D193" s="70"/>
      <c r="E193" s="70"/>
      <c r="X193" s="85"/>
    </row>
    <row r="194">
      <c r="B194" s="70"/>
      <c r="C194" s="70"/>
      <c r="D194" s="70"/>
      <c r="E194" s="70"/>
      <c r="X194" s="85"/>
    </row>
    <row r="195">
      <c r="B195" s="70"/>
      <c r="C195" s="70"/>
      <c r="D195" s="70"/>
      <c r="E195" s="70"/>
      <c r="X195" s="85"/>
    </row>
    <row r="196">
      <c r="B196" s="70"/>
      <c r="C196" s="70"/>
      <c r="D196" s="70"/>
      <c r="E196" s="70"/>
      <c r="X196" s="85"/>
    </row>
    <row r="197">
      <c r="B197" s="70"/>
      <c r="C197" s="70"/>
      <c r="D197" s="70"/>
      <c r="E197" s="70"/>
      <c r="X197" s="85"/>
    </row>
    <row r="198">
      <c r="B198" s="70"/>
      <c r="C198" s="70"/>
      <c r="D198" s="70"/>
      <c r="E198" s="70"/>
      <c r="X198" s="85"/>
    </row>
    <row r="199">
      <c r="B199" s="70"/>
      <c r="C199" s="70"/>
      <c r="D199" s="70"/>
      <c r="E199" s="70"/>
      <c r="X199" s="85"/>
    </row>
    <row r="200">
      <c r="B200" s="70"/>
      <c r="C200" s="70"/>
      <c r="D200" s="70"/>
      <c r="E200" s="70"/>
      <c r="X200" s="85"/>
    </row>
    <row r="201">
      <c r="B201" s="70"/>
      <c r="C201" s="70"/>
      <c r="D201" s="70"/>
      <c r="E201" s="70"/>
      <c r="X201" s="85"/>
    </row>
    <row r="202">
      <c r="B202" s="70"/>
      <c r="C202" s="70"/>
      <c r="D202" s="70"/>
      <c r="E202" s="70"/>
      <c r="X202" s="85"/>
    </row>
    <row r="203">
      <c r="B203" s="70"/>
      <c r="C203" s="70"/>
      <c r="D203" s="70"/>
      <c r="E203" s="70"/>
      <c r="X203" s="85"/>
    </row>
    <row r="204">
      <c r="B204" s="70"/>
      <c r="C204" s="70"/>
      <c r="D204" s="70"/>
      <c r="E204" s="70"/>
      <c r="X204" s="85"/>
    </row>
    <row r="205">
      <c r="B205" s="70"/>
      <c r="C205" s="70"/>
      <c r="D205" s="70"/>
      <c r="E205" s="70"/>
      <c r="X205" s="85"/>
    </row>
    <row r="206">
      <c r="B206" s="70"/>
      <c r="C206" s="70"/>
      <c r="D206" s="70"/>
      <c r="E206" s="70"/>
      <c r="X206" s="85"/>
    </row>
    <row r="207">
      <c r="B207" s="70"/>
      <c r="C207" s="70"/>
      <c r="D207" s="70"/>
      <c r="E207" s="70"/>
      <c r="X207" s="85"/>
    </row>
    <row r="208">
      <c r="B208" s="70"/>
      <c r="C208" s="70"/>
      <c r="D208" s="70"/>
      <c r="E208" s="70"/>
      <c r="X208" s="85"/>
    </row>
    <row r="209">
      <c r="B209" s="70"/>
      <c r="C209" s="70"/>
      <c r="D209" s="70"/>
      <c r="E209" s="70"/>
      <c r="X209" s="85"/>
    </row>
    <row r="210">
      <c r="B210" s="70"/>
      <c r="C210" s="70"/>
      <c r="D210" s="70"/>
      <c r="E210" s="70"/>
      <c r="X210" s="85"/>
    </row>
    <row r="211">
      <c r="B211" s="70"/>
      <c r="C211" s="70"/>
      <c r="D211" s="70"/>
      <c r="E211" s="70"/>
      <c r="X211" s="85"/>
    </row>
    <row r="212">
      <c r="B212" s="70"/>
      <c r="C212" s="70"/>
      <c r="D212" s="70"/>
      <c r="E212" s="70"/>
      <c r="X212" s="85"/>
    </row>
    <row r="213">
      <c r="B213" s="70"/>
      <c r="C213" s="70"/>
      <c r="D213" s="70"/>
      <c r="E213" s="70"/>
      <c r="X213" s="85"/>
    </row>
    <row r="214">
      <c r="B214" s="70"/>
      <c r="C214" s="70"/>
      <c r="D214" s="70"/>
      <c r="E214" s="70"/>
      <c r="X214" s="85"/>
    </row>
    <row r="215">
      <c r="B215" s="70"/>
      <c r="C215" s="70"/>
      <c r="D215" s="70"/>
      <c r="E215" s="70"/>
      <c r="X215" s="85"/>
    </row>
    <row r="216">
      <c r="B216" s="70"/>
      <c r="C216" s="70"/>
      <c r="D216" s="70"/>
      <c r="E216" s="70"/>
      <c r="X216" s="85"/>
    </row>
    <row r="217">
      <c r="B217" s="70"/>
      <c r="C217" s="70"/>
      <c r="D217" s="70"/>
      <c r="E217" s="70"/>
      <c r="X217" s="85"/>
    </row>
    <row r="218">
      <c r="B218" s="70"/>
      <c r="C218" s="70"/>
      <c r="D218" s="70"/>
      <c r="E218" s="70"/>
      <c r="X218" s="85"/>
    </row>
    <row r="219">
      <c r="B219" s="70"/>
      <c r="C219" s="70"/>
      <c r="D219" s="70"/>
      <c r="E219" s="70"/>
      <c r="X219" s="85"/>
    </row>
    <row r="220">
      <c r="B220" s="70"/>
      <c r="C220" s="70"/>
      <c r="D220" s="70"/>
      <c r="E220" s="70"/>
      <c r="X220" s="85"/>
    </row>
    <row r="221">
      <c r="B221" s="70"/>
      <c r="C221" s="70"/>
      <c r="D221" s="70"/>
      <c r="E221" s="70"/>
      <c r="X221" s="85"/>
    </row>
    <row r="222">
      <c r="B222" s="70"/>
      <c r="C222" s="70"/>
      <c r="D222" s="70"/>
      <c r="E222" s="70"/>
      <c r="X222" s="85"/>
    </row>
    <row r="223">
      <c r="B223" s="70"/>
      <c r="C223" s="70"/>
      <c r="D223" s="70"/>
      <c r="E223" s="70"/>
      <c r="X223" s="85"/>
    </row>
    <row r="224">
      <c r="B224" s="70"/>
      <c r="C224" s="70"/>
      <c r="D224" s="70"/>
      <c r="E224" s="70"/>
      <c r="X224" s="85"/>
    </row>
    <row r="225">
      <c r="B225" s="70"/>
      <c r="C225" s="70"/>
      <c r="D225" s="70"/>
      <c r="E225" s="70"/>
      <c r="X225" s="85"/>
    </row>
    <row r="226">
      <c r="B226" s="70"/>
      <c r="C226" s="70"/>
      <c r="D226" s="70"/>
      <c r="E226" s="70"/>
      <c r="X226" s="85"/>
    </row>
    <row r="227">
      <c r="B227" s="70"/>
      <c r="C227" s="70"/>
      <c r="D227" s="70"/>
      <c r="E227" s="70"/>
      <c r="X227" s="85"/>
    </row>
    <row r="228">
      <c r="B228" s="70"/>
      <c r="C228" s="70"/>
      <c r="D228" s="70"/>
      <c r="E228" s="70"/>
      <c r="X228" s="85"/>
    </row>
    <row r="229">
      <c r="B229" s="70"/>
      <c r="C229" s="70"/>
      <c r="D229" s="70"/>
      <c r="E229" s="70"/>
      <c r="X229" s="85"/>
    </row>
    <row r="230">
      <c r="B230" s="70"/>
      <c r="C230" s="70"/>
      <c r="D230" s="70"/>
      <c r="E230" s="70"/>
      <c r="X230" s="85"/>
    </row>
    <row r="231">
      <c r="B231" s="70"/>
      <c r="C231" s="70"/>
      <c r="D231" s="70"/>
      <c r="E231" s="70"/>
      <c r="X231" s="85"/>
    </row>
    <row r="232">
      <c r="B232" s="70"/>
      <c r="C232" s="70"/>
      <c r="D232" s="70"/>
      <c r="E232" s="70"/>
      <c r="X232" s="85"/>
    </row>
    <row r="233">
      <c r="B233" s="70"/>
      <c r="C233" s="70"/>
      <c r="D233" s="70"/>
      <c r="E233" s="70"/>
      <c r="X233" s="85"/>
    </row>
    <row r="234">
      <c r="B234" s="70"/>
      <c r="C234" s="70"/>
      <c r="D234" s="70"/>
      <c r="E234" s="70"/>
      <c r="X234" s="85"/>
    </row>
    <row r="235">
      <c r="B235" s="70"/>
      <c r="C235" s="70"/>
      <c r="D235" s="70"/>
      <c r="E235" s="70"/>
      <c r="X235" s="85"/>
    </row>
    <row r="236">
      <c r="B236" s="70"/>
      <c r="C236" s="70"/>
      <c r="D236" s="70"/>
      <c r="E236" s="70"/>
      <c r="X236" s="85"/>
    </row>
    <row r="237">
      <c r="B237" s="70"/>
      <c r="C237" s="70"/>
      <c r="D237" s="70"/>
      <c r="E237" s="70"/>
      <c r="X237" s="85"/>
    </row>
    <row r="238">
      <c r="B238" s="70"/>
      <c r="C238" s="70"/>
      <c r="D238" s="70"/>
      <c r="E238" s="70"/>
      <c r="X238" s="85"/>
    </row>
    <row r="239">
      <c r="B239" s="70"/>
      <c r="C239" s="70"/>
      <c r="D239" s="70"/>
      <c r="E239" s="70"/>
      <c r="X239" s="85"/>
    </row>
    <row r="240">
      <c r="B240" s="70"/>
      <c r="C240" s="70"/>
      <c r="D240" s="70"/>
      <c r="E240" s="70"/>
      <c r="X240" s="85"/>
    </row>
    <row r="241">
      <c r="B241" s="70"/>
      <c r="C241" s="70"/>
      <c r="D241" s="70"/>
      <c r="E241" s="70"/>
      <c r="X241" s="85"/>
    </row>
    <row r="242">
      <c r="B242" s="70"/>
      <c r="C242" s="70"/>
      <c r="D242" s="70"/>
      <c r="E242" s="70"/>
      <c r="X242" s="85"/>
    </row>
    <row r="243">
      <c r="B243" s="70"/>
      <c r="C243" s="70"/>
      <c r="D243" s="70"/>
      <c r="E243" s="70"/>
      <c r="X243" s="85"/>
    </row>
    <row r="244">
      <c r="B244" s="70"/>
      <c r="C244" s="70"/>
      <c r="D244" s="70"/>
      <c r="E244" s="70"/>
      <c r="X244" s="85"/>
    </row>
    <row r="245">
      <c r="B245" s="70"/>
      <c r="C245" s="70"/>
      <c r="D245" s="70"/>
      <c r="E245" s="70"/>
      <c r="X245" s="85"/>
    </row>
    <row r="246">
      <c r="B246" s="70"/>
      <c r="C246" s="70"/>
      <c r="D246" s="70"/>
      <c r="E246" s="70"/>
      <c r="X246" s="85"/>
    </row>
    <row r="247">
      <c r="B247" s="70"/>
      <c r="C247" s="70"/>
      <c r="D247" s="70"/>
      <c r="E247" s="70"/>
      <c r="X247" s="85"/>
    </row>
    <row r="248">
      <c r="B248" s="70"/>
      <c r="C248" s="70"/>
      <c r="D248" s="70"/>
      <c r="E248" s="70"/>
      <c r="X248" s="85"/>
    </row>
    <row r="249">
      <c r="B249" s="70"/>
      <c r="C249" s="70"/>
      <c r="D249" s="70"/>
      <c r="E249" s="70"/>
      <c r="X249" s="85"/>
    </row>
    <row r="250">
      <c r="B250" s="70"/>
      <c r="C250" s="70"/>
      <c r="D250" s="70"/>
      <c r="E250" s="70"/>
      <c r="X250" s="85"/>
    </row>
    <row r="251">
      <c r="B251" s="70"/>
      <c r="C251" s="70"/>
      <c r="D251" s="70"/>
      <c r="E251" s="70"/>
      <c r="X251" s="85"/>
    </row>
    <row r="252">
      <c r="B252" s="70"/>
      <c r="C252" s="70"/>
      <c r="D252" s="70"/>
      <c r="E252" s="70"/>
      <c r="X252" s="85"/>
    </row>
    <row r="253">
      <c r="B253" s="70"/>
      <c r="C253" s="70"/>
      <c r="D253" s="70"/>
      <c r="E253" s="70"/>
      <c r="X253" s="85"/>
    </row>
    <row r="254">
      <c r="B254" s="70"/>
      <c r="C254" s="70"/>
      <c r="D254" s="70"/>
      <c r="E254" s="70"/>
      <c r="X254" s="85"/>
    </row>
    <row r="255">
      <c r="B255" s="70"/>
      <c r="C255" s="70"/>
      <c r="D255" s="70"/>
      <c r="E255" s="70"/>
      <c r="X255" s="85"/>
    </row>
    <row r="256">
      <c r="B256" s="70"/>
      <c r="C256" s="70"/>
      <c r="D256" s="70"/>
      <c r="E256" s="70"/>
      <c r="X256" s="85"/>
    </row>
    <row r="257">
      <c r="B257" s="70"/>
      <c r="C257" s="70"/>
      <c r="D257" s="70"/>
      <c r="E257" s="70"/>
      <c r="X257" s="85"/>
    </row>
    <row r="258">
      <c r="B258" s="70"/>
      <c r="C258" s="70"/>
      <c r="D258" s="70"/>
      <c r="E258" s="70"/>
      <c r="X258" s="85"/>
    </row>
    <row r="259">
      <c r="B259" s="70"/>
      <c r="C259" s="70"/>
      <c r="D259" s="70"/>
      <c r="E259" s="70"/>
      <c r="X259" s="85"/>
    </row>
    <row r="260">
      <c r="B260" s="70"/>
      <c r="C260" s="70"/>
      <c r="D260" s="70"/>
      <c r="E260" s="70"/>
      <c r="X260" s="85"/>
    </row>
    <row r="261">
      <c r="B261" s="70"/>
      <c r="C261" s="70"/>
      <c r="D261" s="70"/>
      <c r="E261" s="70"/>
      <c r="X261" s="85"/>
    </row>
    <row r="262">
      <c r="B262" s="70"/>
      <c r="C262" s="70"/>
      <c r="D262" s="70"/>
      <c r="E262" s="70"/>
      <c r="X262" s="85"/>
    </row>
    <row r="263">
      <c r="B263" s="70"/>
      <c r="C263" s="70"/>
      <c r="D263" s="70"/>
      <c r="E263" s="70"/>
      <c r="X263" s="85"/>
    </row>
    <row r="264">
      <c r="B264" s="70"/>
      <c r="C264" s="70"/>
      <c r="D264" s="70"/>
      <c r="E264" s="70"/>
      <c r="X264" s="85"/>
    </row>
    <row r="265">
      <c r="B265" s="70"/>
      <c r="C265" s="70"/>
      <c r="D265" s="70"/>
      <c r="E265" s="70"/>
      <c r="X265" s="85"/>
    </row>
    <row r="266">
      <c r="B266" s="70"/>
      <c r="C266" s="70"/>
      <c r="D266" s="70"/>
      <c r="E266" s="70"/>
      <c r="X266" s="85"/>
    </row>
    <row r="267">
      <c r="B267" s="70"/>
      <c r="C267" s="70"/>
      <c r="D267" s="70"/>
      <c r="E267" s="70"/>
      <c r="X267" s="85"/>
    </row>
    <row r="268">
      <c r="B268" s="70"/>
      <c r="C268" s="70"/>
      <c r="D268" s="70"/>
      <c r="E268" s="70"/>
      <c r="X268" s="85"/>
    </row>
    <row r="269">
      <c r="B269" s="70"/>
      <c r="C269" s="70"/>
      <c r="D269" s="70"/>
      <c r="E269" s="70"/>
      <c r="X269" s="85"/>
    </row>
    <row r="270">
      <c r="B270" s="70"/>
      <c r="C270" s="70"/>
      <c r="D270" s="70"/>
      <c r="E270" s="70"/>
      <c r="X270" s="85"/>
    </row>
    <row r="271">
      <c r="B271" s="70"/>
      <c r="C271" s="70"/>
      <c r="D271" s="70"/>
      <c r="E271" s="70"/>
      <c r="X271" s="85"/>
    </row>
    <row r="272">
      <c r="B272" s="70"/>
      <c r="C272" s="70"/>
      <c r="D272" s="70"/>
      <c r="E272" s="70"/>
      <c r="X272" s="85"/>
    </row>
    <row r="273">
      <c r="B273" s="70"/>
      <c r="C273" s="70"/>
      <c r="D273" s="70"/>
      <c r="E273" s="70"/>
      <c r="X273" s="85"/>
    </row>
    <row r="274">
      <c r="B274" s="70"/>
      <c r="C274" s="70"/>
      <c r="D274" s="70"/>
      <c r="E274" s="70"/>
      <c r="X274" s="85"/>
    </row>
    <row r="275">
      <c r="B275" s="70"/>
      <c r="C275" s="70"/>
      <c r="D275" s="70"/>
      <c r="E275" s="70"/>
      <c r="X275" s="85"/>
    </row>
    <row r="276">
      <c r="B276" s="70"/>
      <c r="C276" s="70"/>
      <c r="D276" s="70"/>
      <c r="E276" s="70"/>
      <c r="X276" s="85"/>
    </row>
    <row r="277">
      <c r="B277" s="70"/>
      <c r="C277" s="70"/>
      <c r="D277" s="70"/>
      <c r="E277" s="70"/>
      <c r="X277" s="85"/>
    </row>
    <row r="278">
      <c r="B278" s="70"/>
      <c r="C278" s="70"/>
      <c r="D278" s="70"/>
      <c r="E278" s="70"/>
      <c r="X278" s="85"/>
    </row>
    <row r="279">
      <c r="B279" s="70"/>
      <c r="C279" s="70"/>
      <c r="D279" s="70"/>
      <c r="E279" s="70"/>
      <c r="X279" s="85"/>
    </row>
    <row r="280">
      <c r="B280" s="70"/>
      <c r="C280" s="70"/>
      <c r="D280" s="70"/>
      <c r="E280" s="70"/>
      <c r="X280" s="85"/>
    </row>
    <row r="281">
      <c r="B281" s="70"/>
      <c r="C281" s="70"/>
      <c r="D281" s="70"/>
      <c r="E281" s="70"/>
      <c r="X281" s="85"/>
    </row>
    <row r="282">
      <c r="B282" s="70"/>
      <c r="C282" s="70"/>
      <c r="D282" s="70"/>
      <c r="E282" s="70"/>
      <c r="X282" s="85"/>
    </row>
    <row r="283">
      <c r="B283" s="70"/>
      <c r="C283" s="70"/>
      <c r="D283" s="70"/>
      <c r="E283" s="70"/>
      <c r="X283" s="85"/>
    </row>
    <row r="284">
      <c r="B284" s="70"/>
      <c r="C284" s="70"/>
      <c r="D284" s="70"/>
      <c r="E284" s="70"/>
      <c r="X284" s="85"/>
    </row>
    <row r="285">
      <c r="B285" s="70"/>
      <c r="C285" s="70"/>
      <c r="D285" s="70"/>
      <c r="E285" s="70"/>
      <c r="X285" s="85"/>
    </row>
    <row r="286">
      <c r="B286" s="70"/>
      <c r="C286" s="70"/>
      <c r="D286" s="70"/>
      <c r="E286" s="70"/>
      <c r="X286" s="85"/>
    </row>
    <row r="287">
      <c r="B287" s="70"/>
      <c r="C287" s="70"/>
      <c r="D287" s="70"/>
      <c r="E287" s="70"/>
      <c r="X287" s="85"/>
    </row>
    <row r="288">
      <c r="B288" s="70"/>
      <c r="C288" s="70"/>
      <c r="D288" s="70"/>
      <c r="E288" s="70"/>
      <c r="X288" s="85"/>
    </row>
    <row r="289">
      <c r="B289" s="70"/>
      <c r="C289" s="70"/>
      <c r="D289" s="70"/>
      <c r="E289" s="70"/>
      <c r="X289" s="85"/>
    </row>
    <row r="290">
      <c r="B290" s="70"/>
      <c r="C290" s="70"/>
      <c r="D290" s="70"/>
      <c r="E290" s="70"/>
      <c r="X290" s="85"/>
    </row>
    <row r="291">
      <c r="B291" s="70"/>
      <c r="C291" s="70"/>
      <c r="D291" s="70"/>
      <c r="E291" s="70"/>
      <c r="X291" s="85"/>
    </row>
    <row r="292">
      <c r="B292" s="70"/>
      <c r="C292" s="70"/>
      <c r="D292" s="70"/>
      <c r="E292" s="70"/>
      <c r="X292" s="85"/>
    </row>
    <row r="293">
      <c r="B293" s="70"/>
      <c r="C293" s="70"/>
      <c r="D293" s="70"/>
      <c r="E293" s="70"/>
      <c r="X293" s="85"/>
    </row>
    <row r="294">
      <c r="B294" s="70"/>
      <c r="C294" s="70"/>
      <c r="D294" s="70"/>
      <c r="E294" s="70"/>
      <c r="X294" s="85"/>
    </row>
    <row r="295">
      <c r="B295" s="70"/>
      <c r="C295" s="70"/>
      <c r="D295" s="70"/>
      <c r="E295" s="70"/>
      <c r="X295" s="85"/>
    </row>
    <row r="296">
      <c r="B296" s="70"/>
      <c r="C296" s="70"/>
      <c r="D296" s="70"/>
      <c r="E296" s="70"/>
      <c r="X296" s="85"/>
    </row>
    <row r="297">
      <c r="B297" s="70"/>
      <c r="C297" s="70"/>
      <c r="D297" s="70"/>
      <c r="E297" s="70"/>
      <c r="X297" s="85"/>
    </row>
    <row r="298">
      <c r="B298" s="70"/>
      <c r="C298" s="70"/>
      <c r="D298" s="70"/>
      <c r="E298" s="70"/>
      <c r="X298" s="85"/>
    </row>
    <row r="299">
      <c r="B299" s="70"/>
      <c r="C299" s="70"/>
      <c r="D299" s="70"/>
      <c r="E299" s="70"/>
      <c r="X299" s="85"/>
    </row>
    <row r="300">
      <c r="B300" s="70"/>
      <c r="C300" s="70"/>
      <c r="D300" s="70"/>
      <c r="E300" s="70"/>
      <c r="X300" s="85"/>
    </row>
    <row r="301">
      <c r="B301" s="70"/>
      <c r="C301" s="70"/>
      <c r="D301" s="70"/>
      <c r="E301" s="70"/>
      <c r="X301" s="85"/>
    </row>
    <row r="302">
      <c r="B302" s="70"/>
      <c r="C302" s="70"/>
      <c r="D302" s="70"/>
      <c r="E302" s="70"/>
      <c r="X302" s="85"/>
    </row>
    <row r="303">
      <c r="B303" s="70"/>
      <c r="C303" s="70"/>
      <c r="D303" s="70"/>
      <c r="E303" s="70"/>
      <c r="X303" s="85"/>
    </row>
    <row r="304">
      <c r="B304" s="70"/>
      <c r="C304" s="70"/>
      <c r="D304" s="70"/>
      <c r="E304" s="70"/>
      <c r="X304" s="85"/>
    </row>
    <row r="305">
      <c r="B305" s="70"/>
      <c r="C305" s="70"/>
      <c r="D305" s="70"/>
      <c r="E305" s="70"/>
      <c r="X305" s="85"/>
    </row>
    <row r="306">
      <c r="B306" s="70"/>
      <c r="C306" s="70"/>
      <c r="D306" s="70"/>
      <c r="E306" s="70"/>
      <c r="X306" s="85"/>
    </row>
    <row r="307">
      <c r="B307" s="70"/>
      <c r="C307" s="70"/>
      <c r="D307" s="70"/>
      <c r="E307" s="70"/>
      <c r="X307" s="85"/>
    </row>
    <row r="308">
      <c r="B308" s="70"/>
      <c r="C308" s="70"/>
      <c r="D308" s="70"/>
      <c r="E308" s="70"/>
      <c r="X308" s="85"/>
    </row>
    <row r="309">
      <c r="B309" s="70"/>
      <c r="C309" s="70"/>
      <c r="D309" s="70"/>
      <c r="E309" s="70"/>
      <c r="X309" s="85"/>
    </row>
    <row r="310">
      <c r="B310" s="70"/>
      <c r="C310" s="70"/>
      <c r="D310" s="70"/>
      <c r="E310" s="70"/>
      <c r="X310" s="85"/>
    </row>
    <row r="311">
      <c r="B311" s="70"/>
      <c r="C311" s="70"/>
      <c r="D311" s="70"/>
      <c r="E311" s="70"/>
      <c r="X311" s="85"/>
    </row>
    <row r="312">
      <c r="B312" s="70"/>
      <c r="C312" s="70"/>
      <c r="D312" s="70"/>
      <c r="E312" s="70"/>
      <c r="X312" s="85"/>
    </row>
    <row r="313">
      <c r="B313" s="70"/>
      <c r="C313" s="70"/>
      <c r="D313" s="70"/>
      <c r="E313" s="70"/>
      <c r="X313" s="85"/>
    </row>
    <row r="314">
      <c r="B314" s="70"/>
      <c r="C314" s="70"/>
      <c r="D314" s="70"/>
      <c r="E314" s="70"/>
      <c r="X314" s="85"/>
    </row>
    <row r="315">
      <c r="B315" s="70"/>
      <c r="C315" s="70"/>
      <c r="D315" s="70"/>
      <c r="E315" s="70"/>
      <c r="X315" s="85"/>
    </row>
    <row r="316">
      <c r="B316" s="70"/>
      <c r="C316" s="70"/>
      <c r="D316" s="70"/>
      <c r="E316" s="70"/>
      <c r="X316" s="85"/>
    </row>
    <row r="317">
      <c r="B317" s="70"/>
      <c r="C317" s="70"/>
      <c r="D317" s="70"/>
      <c r="E317" s="70"/>
      <c r="X317" s="85"/>
    </row>
    <row r="318">
      <c r="B318" s="70"/>
      <c r="C318" s="70"/>
      <c r="D318" s="70"/>
      <c r="E318" s="70"/>
      <c r="X318" s="85"/>
    </row>
    <row r="319">
      <c r="B319" s="70"/>
      <c r="C319" s="70"/>
      <c r="D319" s="70"/>
      <c r="E319" s="70"/>
      <c r="X319" s="85"/>
    </row>
    <row r="320">
      <c r="B320" s="70"/>
      <c r="C320" s="70"/>
      <c r="D320" s="70"/>
      <c r="E320" s="70"/>
      <c r="X320" s="85"/>
    </row>
    <row r="321">
      <c r="B321" s="70"/>
      <c r="C321" s="70"/>
      <c r="D321" s="70"/>
      <c r="E321" s="70"/>
      <c r="X321" s="85"/>
    </row>
    <row r="322">
      <c r="B322" s="70"/>
      <c r="C322" s="70"/>
      <c r="D322" s="70"/>
      <c r="E322" s="70"/>
      <c r="X322" s="85"/>
    </row>
    <row r="323">
      <c r="B323" s="70"/>
      <c r="C323" s="70"/>
      <c r="D323" s="70"/>
      <c r="E323" s="70"/>
      <c r="X323" s="85"/>
    </row>
    <row r="324">
      <c r="B324" s="70"/>
      <c r="C324" s="70"/>
      <c r="D324" s="70"/>
      <c r="E324" s="70"/>
      <c r="X324" s="85"/>
    </row>
    <row r="325">
      <c r="B325" s="70"/>
      <c r="C325" s="70"/>
      <c r="D325" s="70"/>
      <c r="E325" s="70"/>
      <c r="X325" s="85"/>
    </row>
    <row r="326">
      <c r="B326" s="70"/>
      <c r="C326" s="70"/>
      <c r="D326" s="70"/>
      <c r="E326" s="70"/>
      <c r="X326" s="85"/>
    </row>
    <row r="327">
      <c r="B327" s="70"/>
      <c r="C327" s="70"/>
      <c r="D327" s="70"/>
      <c r="E327" s="70"/>
      <c r="X327" s="85"/>
    </row>
    <row r="328">
      <c r="B328" s="70"/>
      <c r="C328" s="70"/>
      <c r="D328" s="70"/>
      <c r="E328" s="70"/>
      <c r="X328" s="85"/>
    </row>
    <row r="329">
      <c r="B329" s="70"/>
      <c r="C329" s="70"/>
      <c r="D329" s="70"/>
      <c r="E329" s="70"/>
      <c r="X329" s="85"/>
    </row>
    <row r="330">
      <c r="B330" s="70"/>
      <c r="C330" s="70"/>
      <c r="D330" s="70"/>
      <c r="E330" s="70"/>
      <c r="X330" s="85"/>
    </row>
    <row r="331">
      <c r="B331" s="70"/>
      <c r="C331" s="70"/>
      <c r="D331" s="70"/>
      <c r="E331" s="70"/>
      <c r="X331" s="85"/>
    </row>
    <row r="332">
      <c r="B332" s="70"/>
      <c r="C332" s="70"/>
      <c r="D332" s="70"/>
      <c r="E332" s="70"/>
      <c r="X332" s="85"/>
    </row>
    <row r="333">
      <c r="B333" s="70"/>
      <c r="C333" s="70"/>
      <c r="D333" s="70"/>
      <c r="E333" s="70"/>
      <c r="X333" s="85"/>
    </row>
    <row r="334">
      <c r="B334" s="70"/>
      <c r="C334" s="70"/>
      <c r="D334" s="70"/>
      <c r="E334" s="70"/>
      <c r="X334" s="85"/>
    </row>
    <row r="335">
      <c r="B335" s="70"/>
      <c r="C335" s="70"/>
      <c r="D335" s="70"/>
      <c r="E335" s="70"/>
      <c r="X335" s="85"/>
    </row>
    <row r="336">
      <c r="B336" s="70"/>
      <c r="C336" s="70"/>
      <c r="D336" s="70"/>
      <c r="E336" s="70"/>
      <c r="X336" s="85"/>
    </row>
    <row r="337">
      <c r="B337" s="70"/>
      <c r="C337" s="70"/>
      <c r="D337" s="70"/>
      <c r="E337" s="70"/>
      <c r="X337" s="85"/>
    </row>
    <row r="338">
      <c r="B338" s="70"/>
      <c r="C338" s="70"/>
      <c r="D338" s="70"/>
      <c r="E338" s="70"/>
      <c r="X338" s="85"/>
    </row>
    <row r="339">
      <c r="B339" s="70"/>
      <c r="C339" s="70"/>
      <c r="D339" s="70"/>
      <c r="E339" s="70"/>
      <c r="X339" s="85"/>
    </row>
    <row r="340">
      <c r="B340" s="70"/>
      <c r="C340" s="70"/>
      <c r="D340" s="70"/>
      <c r="E340" s="70"/>
      <c r="X340" s="85"/>
    </row>
    <row r="341">
      <c r="B341" s="70"/>
      <c r="C341" s="70"/>
      <c r="D341" s="70"/>
      <c r="E341" s="70"/>
      <c r="X341" s="85"/>
    </row>
    <row r="342">
      <c r="B342" s="70"/>
      <c r="C342" s="70"/>
      <c r="D342" s="70"/>
      <c r="E342" s="70"/>
      <c r="X342" s="85"/>
    </row>
    <row r="343">
      <c r="B343" s="70"/>
      <c r="C343" s="70"/>
      <c r="D343" s="70"/>
      <c r="E343" s="70"/>
      <c r="X343" s="85"/>
    </row>
    <row r="344">
      <c r="B344" s="70"/>
      <c r="C344" s="70"/>
      <c r="D344" s="70"/>
      <c r="E344" s="70"/>
      <c r="X344" s="85"/>
    </row>
    <row r="345">
      <c r="B345" s="70"/>
      <c r="C345" s="70"/>
      <c r="D345" s="70"/>
      <c r="E345" s="70"/>
      <c r="X345" s="85"/>
    </row>
    <row r="346">
      <c r="B346" s="70"/>
      <c r="C346" s="70"/>
      <c r="D346" s="70"/>
      <c r="E346" s="70"/>
      <c r="X346" s="85"/>
    </row>
    <row r="347">
      <c r="B347" s="70"/>
      <c r="C347" s="70"/>
      <c r="D347" s="70"/>
      <c r="E347" s="70"/>
      <c r="X347" s="85"/>
    </row>
    <row r="348">
      <c r="B348" s="70"/>
      <c r="C348" s="70"/>
      <c r="D348" s="70"/>
      <c r="E348" s="70"/>
      <c r="X348" s="85"/>
    </row>
    <row r="349">
      <c r="B349" s="70"/>
      <c r="C349" s="70"/>
      <c r="D349" s="70"/>
      <c r="E349" s="70"/>
      <c r="X349" s="85"/>
    </row>
    <row r="350">
      <c r="B350" s="70"/>
      <c r="C350" s="70"/>
      <c r="D350" s="70"/>
      <c r="E350" s="70"/>
      <c r="X350" s="85"/>
    </row>
    <row r="351">
      <c r="B351" s="70"/>
      <c r="C351" s="70"/>
      <c r="D351" s="70"/>
      <c r="E351" s="70"/>
      <c r="X351" s="85"/>
    </row>
    <row r="352">
      <c r="B352" s="70"/>
      <c r="C352" s="70"/>
      <c r="D352" s="70"/>
      <c r="E352" s="70"/>
      <c r="X352" s="85"/>
    </row>
    <row r="353">
      <c r="B353" s="70"/>
      <c r="C353" s="70"/>
      <c r="D353" s="70"/>
      <c r="E353" s="70"/>
      <c r="X353" s="85"/>
    </row>
    <row r="354">
      <c r="B354" s="70"/>
      <c r="C354" s="70"/>
      <c r="D354" s="70"/>
      <c r="E354" s="70"/>
      <c r="X354" s="85"/>
    </row>
    <row r="355">
      <c r="B355" s="70"/>
      <c r="C355" s="70"/>
      <c r="D355" s="70"/>
      <c r="E355" s="70"/>
      <c r="X355" s="85"/>
    </row>
    <row r="356">
      <c r="B356" s="70"/>
      <c r="C356" s="70"/>
      <c r="D356" s="70"/>
      <c r="E356" s="70"/>
      <c r="X356" s="85"/>
    </row>
    <row r="357">
      <c r="B357" s="70"/>
      <c r="C357" s="70"/>
      <c r="D357" s="70"/>
      <c r="E357" s="70"/>
      <c r="X357" s="85"/>
    </row>
    <row r="358">
      <c r="B358" s="70"/>
      <c r="C358" s="70"/>
      <c r="D358" s="70"/>
      <c r="E358" s="70"/>
      <c r="X358" s="85"/>
    </row>
    <row r="359">
      <c r="B359" s="70"/>
      <c r="C359" s="70"/>
      <c r="D359" s="70"/>
      <c r="E359" s="70"/>
      <c r="X359" s="85"/>
    </row>
    <row r="360">
      <c r="B360" s="70"/>
      <c r="C360" s="70"/>
      <c r="D360" s="70"/>
      <c r="E360" s="70"/>
      <c r="X360" s="85"/>
    </row>
    <row r="361">
      <c r="B361" s="70"/>
      <c r="C361" s="70"/>
      <c r="D361" s="70"/>
      <c r="E361" s="70"/>
      <c r="X361" s="85"/>
    </row>
    <row r="362">
      <c r="B362" s="70"/>
      <c r="C362" s="70"/>
      <c r="D362" s="70"/>
      <c r="E362" s="70"/>
      <c r="X362" s="85"/>
    </row>
    <row r="363">
      <c r="B363" s="70"/>
      <c r="C363" s="70"/>
      <c r="D363" s="70"/>
      <c r="E363" s="70"/>
      <c r="X363" s="85"/>
    </row>
    <row r="364">
      <c r="B364" s="70"/>
      <c r="C364" s="70"/>
      <c r="D364" s="70"/>
      <c r="E364" s="70"/>
      <c r="X364" s="85"/>
    </row>
    <row r="365">
      <c r="B365" s="70"/>
      <c r="C365" s="70"/>
      <c r="D365" s="70"/>
      <c r="E365" s="70"/>
      <c r="X365" s="85"/>
    </row>
    <row r="366">
      <c r="B366" s="70"/>
      <c r="C366" s="70"/>
      <c r="D366" s="70"/>
      <c r="E366" s="70"/>
      <c r="X366" s="85"/>
    </row>
    <row r="367">
      <c r="B367" s="70"/>
      <c r="C367" s="70"/>
      <c r="D367" s="70"/>
      <c r="E367" s="70"/>
      <c r="X367" s="85"/>
    </row>
    <row r="368">
      <c r="B368" s="70"/>
      <c r="C368" s="70"/>
      <c r="D368" s="70"/>
      <c r="E368" s="70"/>
      <c r="X368" s="85"/>
    </row>
    <row r="369">
      <c r="B369" s="70"/>
      <c r="C369" s="70"/>
      <c r="D369" s="70"/>
      <c r="E369" s="70"/>
      <c r="X369" s="85"/>
    </row>
    <row r="370">
      <c r="B370" s="70"/>
      <c r="C370" s="70"/>
      <c r="D370" s="70"/>
      <c r="E370" s="70"/>
      <c r="X370" s="85"/>
    </row>
    <row r="371">
      <c r="B371" s="70"/>
      <c r="C371" s="70"/>
      <c r="D371" s="70"/>
      <c r="E371" s="70"/>
      <c r="X371" s="85"/>
    </row>
    <row r="372">
      <c r="B372" s="70"/>
      <c r="C372" s="70"/>
      <c r="D372" s="70"/>
      <c r="E372" s="70"/>
      <c r="X372" s="85"/>
    </row>
    <row r="373">
      <c r="B373" s="70"/>
      <c r="C373" s="70"/>
      <c r="D373" s="70"/>
      <c r="E373" s="70"/>
      <c r="X373" s="85"/>
    </row>
    <row r="374">
      <c r="B374" s="70"/>
      <c r="C374" s="70"/>
      <c r="D374" s="70"/>
      <c r="E374" s="70"/>
      <c r="X374" s="85"/>
    </row>
    <row r="375">
      <c r="B375" s="70"/>
      <c r="C375" s="70"/>
      <c r="D375" s="70"/>
      <c r="E375" s="70"/>
      <c r="X375" s="85"/>
    </row>
    <row r="376">
      <c r="B376" s="70"/>
      <c r="C376" s="70"/>
      <c r="D376" s="70"/>
      <c r="E376" s="70"/>
      <c r="X376" s="85"/>
    </row>
    <row r="377">
      <c r="B377" s="70"/>
      <c r="C377" s="70"/>
      <c r="D377" s="70"/>
      <c r="E377" s="70"/>
      <c r="X377" s="85"/>
    </row>
    <row r="378">
      <c r="B378" s="70"/>
      <c r="C378" s="70"/>
      <c r="D378" s="70"/>
      <c r="E378" s="70"/>
      <c r="X378" s="85"/>
    </row>
    <row r="379">
      <c r="B379" s="70"/>
      <c r="C379" s="70"/>
      <c r="D379" s="70"/>
      <c r="E379" s="70"/>
      <c r="X379" s="85"/>
    </row>
    <row r="380">
      <c r="B380" s="70"/>
      <c r="C380" s="70"/>
      <c r="D380" s="70"/>
      <c r="E380" s="70"/>
      <c r="X380" s="85"/>
    </row>
    <row r="381">
      <c r="B381" s="70"/>
      <c r="C381" s="70"/>
      <c r="D381" s="70"/>
      <c r="E381" s="70"/>
      <c r="X381" s="85"/>
    </row>
    <row r="382">
      <c r="B382" s="70"/>
      <c r="C382" s="70"/>
      <c r="D382" s="70"/>
      <c r="E382" s="70"/>
      <c r="X382" s="85"/>
    </row>
    <row r="383">
      <c r="B383" s="70"/>
      <c r="C383" s="70"/>
      <c r="D383" s="70"/>
      <c r="E383" s="70"/>
      <c r="X383" s="85"/>
    </row>
    <row r="384">
      <c r="B384" s="70"/>
      <c r="C384" s="70"/>
      <c r="D384" s="70"/>
      <c r="E384" s="70"/>
      <c r="X384" s="85"/>
    </row>
    <row r="385">
      <c r="B385" s="70"/>
      <c r="C385" s="70"/>
      <c r="D385" s="70"/>
      <c r="E385" s="70"/>
      <c r="X385" s="85"/>
    </row>
    <row r="386">
      <c r="B386" s="70"/>
      <c r="C386" s="70"/>
      <c r="D386" s="70"/>
      <c r="E386" s="70"/>
      <c r="X386" s="85"/>
    </row>
    <row r="387">
      <c r="B387" s="70"/>
      <c r="C387" s="70"/>
      <c r="D387" s="70"/>
      <c r="E387" s="70"/>
      <c r="X387" s="85"/>
    </row>
    <row r="388">
      <c r="B388" s="70"/>
      <c r="C388" s="70"/>
      <c r="D388" s="70"/>
      <c r="E388" s="70"/>
      <c r="X388" s="85"/>
    </row>
    <row r="389">
      <c r="B389" s="70"/>
      <c r="C389" s="70"/>
      <c r="D389" s="70"/>
      <c r="E389" s="70"/>
      <c r="X389" s="85"/>
    </row>
    <row r="390">
      <c r="B390" s="70"/>
      <c r="C390" s="70"/>
      <c r="D390" s="70"/>
      <c r="E390" s="70"/>
      <c r="X390" s="85"/>
    </row>
    <row r="391">
      <c r="B391" s="70"/>
      <c r="C391" s="70"/>
      <c r="D391" s="70"/>
      <c r="E391" s="70"/>
      <c r="X391" s="85"/>
    </row>
    <row r="392">
      <c r="B392" s="70"/>
      <c r="C392" s="70"/>
      <c r="D392" s="70"/>
      <c r="E392" s="70"/>
      <c r="X392" s="85"/>
    </row>
    <row r="393">
      <c r="B393" s="70"/>
      <c r="C393" s="70"/>
      <c r="D393" s="70"/>
      <c r="E393" s="70"/>
      <c r="X393" s="85"/>
    </row>
    <row r="394">
      <c r="B394" s="70"/>
      <c r="C394" s="70"/>
      <c r="D394" s="70"/>
      <c r="E394" s="70"/>
      <c r="X394" s="85"/>
    </row>
    <row r="395">
      <c r="B395" s="70"/>
      <c r="C395" s="70"/>
      <c r="D395" s="70"/>
      <c r="E395" s="70"/>
      <c r="X395" s="85"/>
    </row>
    <row r="396">
      <c r="B396" s="70"/>
      <c r="C396" s="70"/>
      <c r="D396" s="70"/>
      <c r="E396" s="70"/>
      <c r="X396" s="85"/>
    </row>
    <row r="397">
      <c r="B397" s="70"/>
      <c r="C397" s="70"/>
      <c r="D397" s="70"/>
      <c r="E397" s="70"/>
      <c r="X397" s="85"/>
    </row>
    <row r="398">
      <c r="B398" s="70"/>
      <c r="C398" s="70"/>
      <c r="D398" s="70"/>
      <c r="E398" s="70"/>
      <c r="X398" s="85"/>
    </row>
    <row r="399">
      <c r="B399" s="70"/>
      <c r="C399" s="70"/>
      <c r="D399" s="70"/>
      <c r="E399" s="70"/>
      <c r="X399" s="85"/>
    </row>
    <row r="400">
      <c r="B400" s="70"/>
      <c r="C400" s="70"/>
      <c r="D400" s="70"/>
      <c r="E400" s="70"/>
      <c r="X400" s="85"/>
    </row>
    <row r="401">
      <c r="B401" s="70"/>
      <c r="C401" s="70"/>
      <c r="D401" s="70"/>
      <c r="E401" s="70"/>
      <c r="X401" s="85"/>
    </row>
    <row r="402">
      <c r="B402" s="70"/>
      <c r="C402" s="70"/>
      <c r="D402" s="70"/>
      <c r="E402" s="70"/>
      <c r="X402" s="85"/>
    </row>
    <row r="403">
      <c r="B403" s="70"/>
      <c r="C403" s="70"/>
      <c r="D403" s="70"/>
      <c r="E403" s="70"/>
      <c r="X403" s="85"/>
    </row>
    <row r="404">
      <c r="B404" s="70"/>
      <c r="C404" s="70"/>
      <c r="D404" s="70"/>
      <c r="E404" s="70"/>
      <c r="X404" s="85"/>
    </row>
    <row r="405">
      <c r="B405" s="70"/>
      <c r="C405" s="70"/>
      <c r="D405" s="70"/>
      <c r="E405" s="70"/>
      <c r="X405" s="85"/>
    </row>
    <row r="406">
      <c r="B406" s="70"/>
      <c r="C406" s="70"/>
      <c r="D406" s="70"/>
      <c r="E406" s="70"/>
      <c r="X406" s="85"/>
    </row>
    <row r="407">
      <c r="B407" s="70"/>
      <c r="C407" s="70"/>
      <c r="D407" s="70"/>
      <c r="E407" s="70"/>
      <c r="X407" s="85"/>
    </row>
    <row r="408">
      <c r="B408" s="70"/>
      <c r="C408" s="70"/>
      <c r="D408" s="70"/>
      <c r="E408" s="70"/>
      <c r="X408" s="85"/>
    </row>
    <row r="409">
      <c r="B409" s="70"/>
      <c r="C409" s="70"/>
      <c r="D409" s="70"/>
      <c r="E409" s="70"/>
      <c r="X409" s="85"/>
    </row>
    <row r="410">
      <c r="B410" s="70"/>
      <c r="C410" s="70"/>
      <c r="D410" s="70"/>
      <c r="E410" s="70"/>
      <c r="X410" s="85"/>
    </row>
    <row r="411">
      <c r="B411" s="70"/>
      <c r="C411" s="70"/>
      <c r="D411" s="70"/>
      <c r="E411" s="70"/>
      <c r="X411" s="85"/>
    </row>
    <row r="412">
      <c r="B412" s="70"/>
      <c r="C412" s="70"/>
      <c r="D412" s="70"/>
      <c r="E412" s="70"/>
      <c r="X412" s="85"/>
    </row>
    <row r="413">
      <c r="B413" s="70"/>
      <c r="C413" s="70"/>
      <c r="D413" s="70"/>
      <c r="E413" s="70"/>
      <c r="X413" s="85"/>
    </row>
    <row r="414">
      <c r="B414" s="70"/>
      <c r="C414" s="70"/>
      <c r="D414" s="70"/>
      <c r="E414" s="70"/>
      <c r="X414" s="85"/>
    </row>
    <row r="415">
      <c r="B415" s="70"/>
      <c r="C415" s="70"/>
      <c r="D415" s="70"/>
      <c r="E415" s="70"/>
      <c r="X415" s="85"/>
    </row>
    <row r="416">
      <c r="B416" s="70"/>
      <c r="C416" s="70"/>
      <c r="D416" s="70"/>
      <c r="E416" s="70"/>
      <c r="X416" s="85"/>
    </row>
    <row r="417">
      <c r="B417" s="70"/>
      <c r="C417" s="70"/>
      <c r="D417" s="70"/>
      <c r="E417" s="70"/>
      <c r="X417" s="85"/>
    </row>
    <row r="418">
      <c r="B418" s="70"/>
      <c r="C418" s="70"/>
      <c r="D418" s="70"/>
      <c r="E418" s="70"/>
      <c r="X418" s="85"/>
    </row>
    <row r="419">
      <c r="B419" s="70"/>
      <c r="C419" s="70"/>
      <c r="D419" s="70"/>
      <c r="E419" s="70"/>
      <c r="X419" s="85"/>
    </row>
    <row r="420">
      <c r="B420" s="70"/>
      <c r="C420" s="70"/>
      <c r="D420" s="70"/>
      <c r="E420" s="70"/>
      <c r="X420" s="85"/>
    </row>
    <row r="421">
      <c r="B421" s="70"/>
      <c r="C421" s="70"/>
      <c r="D421" s="70"/>
      <c r="E421" s="70"/>
      <c r="X421" s="85"/>
    </row>
    <row r="422">
      <c r="B422" s="70"/>
      <c r="C422" s="70"/>
      <c r="D422" s="70"/>
      <c r="E422" s="70"/>
      <c r="X422" s="85"/>
    </row>
    <row r="423">
      <c r="B423" s="70"/>
      <c r="C423" s="70"/>
      <c r="D423" s="70"/>
      <c r="E423" s="70"/>
      <c r="X423" s="85"/>
    </row>
    <row r="424">
      <c r="B424" s="70"/>
      <c r="C424" s="70"/>
      <c r="D424" s="70"/>
      <c r="E424" s="70"/>
      <c r="X424" s="85"/>
    </row>
    <row r="425">
      <c r="B425" s="70"/>
      <c r="C425" s="70"/>
      <c r="D425" s="70"/>
      <c r="E425" s="70"/>
      <c r="X425" s="85"/>
    </row>
    <row r="426">
      <c r="B426" s="70"/>
      <c r="C426" s="70"/>
      <c r="D426" s="70"/>
      <c r="E426" s="70"/>
      <c r="X426" s="85"/>
    </row>
    <row r="427">
      <c r="B427" s="70"/>
      <c r="C427" s="70"/>
      <c r="D427" s="70"/>
      <c r="E427" s="70"/>
      <c r="X427" s="85"/>
    </row>
    <row r="428">
      <c r="B428" s="70"/>
      <c r="C428" s="70"/>
      <c r="D428" s="70"/>
      <c r="E428" s="70"/>
      <c r="X428" s="85"/>
    </row>
    <row r="429">
      <c r="B429" s="70"/>
      <c r="C429" s="70"/>
      <c r="D429" s="70"/>
      <c r="E429" s="70"/>
      <c r="X429" s="85"/>
    </row>
    <row r="430">
      <c r="B430" s="70"/>
      <c r="C430" s="70"/>
      <c r="D430" s="70"/>
      <c r="E430" s="70"/>
      <c r="X430" s="85"/>
    </row>
    <row r="431">
      <c r="B431" s="70"/>
      <c r="C431" s="70"/>
      <c r="D431" s="70"/>
      <c r="E431" s="70"/>
      <c r="X431" s="85"/>
    </row>
    <row r="432">
      <c r="B432" s="70"/>
      <c r="C432" s="70"/>
      <c r="D432" s="70"/>
      <c r="E432" s="70"/>
      <c r="X432" s="85"/>
    </row>
    <row r="433">
      <c r="B433" s="70"/>
      <c r="C433" s="70"/>
      <c r="D433" s="70"/>
      <c r="E433" s="70"/>
      <c r="X433" s="85"/>
    </row>
    <row r="434">
      <c r="B434" s="70"/>
      <c r="C434" s="70"/>
      <c r="D434" s="70"/>
      <c r="E434" s="70"/>
      <c r="X434" s="85"/>
    </row>
    <row r="435">
      <c r="B435" s="70"/>
      <c r="C435" s="70"/>
      <c r="D435" s="70"/>
      <c r="E435" s="70"/>
      <c r="X435" s="85"/>
    </row>
    <row r="436">
      <c r="B436" s="70"/>
      <c r="C436" s="70"/>
      <c r="D436" s="70"/>
      <c r="E436" s="70"/>
      <c r="X436" s="85"/>
    </row>
    <row r="437">
      <c r="B437" s="70"/>
      <c r="C437" s="70"/>
      <c r="D437" s="70"/>
      <c r="E437" s="70"/>
      <c r="X437" s="85"/>
    </row>
    <row r="438">
      <c r="B438" s="70"/>
      <c r="C438" s="70"/>
      <c r="D438" s="70"/>
      <c r="E438" s="70"/>
      <c r="X438" s="85"/>
    </row>
    <row r="439">
      <c r="B439" s="70"/>
      <c r="C439" s="70"/>
      <c r="D439" s="70"/>
      <c r="E439" s="70"/>
      <c r="X439" s="85"/>
    </row>
    <row r="440">
      <c r="B440" s="70"/>
      <c r="C440" s="70"/>
      <c r="D440" s="70"/>
      <c r="E440" s="70"/>
      <c r="X440" s="85"/>
    </row>
    <row r="441">
      <c r="B441" s="70"/>
      <c r="C441" s="70"/>
      <c r="D441" s="70"/>
      <c r="E441" s="70"/>
      <c r="X441" s="85"/>
    </row>
    <row r="442">
      <c r="B442" s="70"/>
      <c r="C442" s="70"/>
      <c r="D442" s="70"/>
      <c r="E442" s="70"/>
      <c r="X442" s="85"/>
    </row>
    <row r="443">
      <c r="B443" s="70"/>
      <c r="C443" s="70"/>
      <c r="D443" s="70"/>
      <c r="E443" s="70"/>
      <c r="X443" s="85"/>
    </row>
    <row r="444">
      <c r="B444" s="70"/>
      <c r="C444" s="70"/>
      <c r="D444" s="70"/>
      <c r="E444" s="70"/>
      <c r="X444" s="85"/>
    </row>
    <row r="445">
      <c r="B445" s="70"/>
      <c r="C445" s="70"/>
      <c r="D445" s="70"/>
      <c r="E445" s="70"/>
      <c r="X445" s="85"/>
    </row>
    <row r="446">
      <c r="B446" s="70"/>
      <c r="C446" s="70"/>
      <c r="D446" s="70"/>
      <c r="E446" s="70"/>
      <c r="X446" s="85"/>
    </row>
    <row r="447">
      <c r="B447" s="70"/>
      <c r="C447" s="70"/>
      <c r="D447" s="70"/>
      <c r="E447" s="70"/>
      <c r="X447" s="85"/>
    </row>
    <row r="448">
      <c r="B448" s="70"/>
      <c r="C448" s="70"/>
      <c r="D448" s="70"/>
      <c r="E448" s="70"/>
      <c r="X448" s="85"/>
    </row>
    <row r="449">
      <c r="B449" s="70"/>
      <c r="C449" s="70"/>
      <c r="D449" s="70"/>
      <c r="E449" s="70"/>
      <c r="X449" s="85"/>
    </row>
    <row r="450">
      <c r="B450" s="70"/>
      <c r="C450" s="70"/>
      <c r="D450" s="70"/>
      <c r="E450" s="70"/>
      <c r="X450" s="85"/>
    </row>
    <row r="451">
      <c r="B451" s="70"/>
      <c r="C451" s="70"/>
      <c r="D451" s="70"/>
      <c r="E451" s="70"/>
      <c r="X451" s="85"/>
    </row>
    <row r="452">
      <c r="B452" s="70"/>
      <c r="C452" s="70"/>
      <c r="D452" s="70"/>
      <c r="E452" s="70"/>
      <c r="X452" s="85"/>
    </row>
    <row r="453">
      <c r="B453" s="70"/>
      <c r="C453" s="70"/>
      <c r="D453" s="70"/>
      <c r="E453" s="70"/>
      <c r="X453" s="85"/>
    </row>
    <row r="454">
      <c r="B454" s="70"/>
      <c r="C454" s="70"/>
      <c r="D454" s="70"/>
      <c r="E454" s="70"/>
      <c r="X454" s="85"/>
    </row>
    <row r="455">
      <c r="B455" s="70"/>
      <c r="C455" s="70"/>
      <c r="D455" s="70"/>
      <c r="E455" s="70"/>
      <c r="X455" s="85"/>
    </row>
    <row r="456">
      <c r="B456" s="70"/>
      <c r="C456" s="70"/>
      <c r="D456" s="70"/>
      <c r="E456" s="70"/>
      <c r="X456" s="85"/>
    </row>
    <row r="457">
      <c r="B457" s="70"/>
      <c r="C457" s="70"/>
      <c r="D457" s="70"/>
      <c r="E457" s="70"/>
      <c r="X457" s="85"/>
    </row>
    <row r="458">
      <c r="B458" s="70"/>
      <c r="C458" s="70"/>
      <c r="D458" s="70"/>
      <c r="E458" s="70"/>
      <c r="X458" s="85"/>
    </row>
    <row r="459">
      <c r="B459" s="70"/>
      <c r="C459" s="70"/>
      <c r="D459" s="70"/>
      <c r="E459" s="70"/>
      <c r="X459" s="85"/>
    </row>
    <row r="460">
      <c r="B460" s="70"/>
      <c r="C460" s="70"/>
      <c r="D460" s="70"/>
      <c r="E460" s="70"/>
      <c r="X460" s="85"/>
    </row>
    <row r="461">
      <c r="B461" s="70"/>
      <c r="C461" s="70"/>
      <c r="D461" s="70"/>
      <c r="E461" s="70"/>
      <c r="X461" s="85"/>
    </row>
    <row r="462">
      <c r="B462" s="70"/>
      <c r="C462" s="70"/>
      <c r="D462" s="70"/>
      <c r="E462" s="70"/>
      <c r="X462" s="85"/>
    </row>
    <row r="463">
      <c r="B463" s="70"/>
      <c r="C463" s="70"/>
      <c r="D463" s="70"/>
      <c r="E463" s="70"/>
      <c r="X463" s="85"/>
    </row>
    <row r="464">
      <c r="B464" s="70"/>
      <c r="C464" s="70"/>
      <c r="D464" s="70"/>
      <c r="E464" s="70"/>
      <c r="X464" s="85"/>
    </row>
    <row r="465">
      <c r="B465" s="70"/>
      <c r="C465" s="70"/>
      <c r="D465" s="70"/>
      <c r="E465" s="70"/>
      <c r="X465" s="85"/>
    </row>
    <row r="466">
      <c r="B466" s="70"/>
      <c r="C466" s="70"/>
      <c r="D466" s="70"/>
      <c r="E466" s="70"/>
      <c r="X466" s="85"/>
    </row>
    <row r="467">
      <c r="B467" s="70"/>
      <c r="C467" s="70"/>
      <c r="D467" s="70"/>
      <c r="E467" s="70"/>
      <c r="X467" s="85"/>
    </row>
    <row r="468">
      <c r="B468" s="70"/>
      <c r="C468" s="70"/>
      <c r="D468" s="70"/>
      <c r="E468" s="70"/>
      <c r="X468" s="85"/>
    </row>
    <row r="469">
      <c r="B469" s="70"/>
      <c r="C469" s="70"/>
      <c r="D469" s="70"/>
      <c r="E469" s="70"/>
      <c r="X469" s="85"/>
    </row>
    <row r="470">
      <c r="B470" s="70"/>
      <c r="C470" s="70"/>
      <c r="D470" s="70"/>
      <c r="E470" s="70"/>
      <c r="X470" s="85"/>
    </row>
    <row r="471">
      <c r="B471" s="70"/>
      <c r="C471" s="70"/>
      <c r="D471" s="70"/>
      <c r="E471" s="70"/>
      <c r="X471" s="85"/>
    </row>
    <row r="472">
      <c r="B472" s="70"/>
      <c r="C472" s="70"/>
      <c r="D472" s="70"/>
      <c r="E472" s="70"/>
      <c r="X472" s="85"/>
    </row>
    <row r="473">
      <c r="B473" s="70"/>
      <c r="C473" s="70"/>
      <c r="D473" s="70"/>
      <c r="E473" s="70"/>
      <c r="X473" s="85"/>
    </row>
    <row r="474">
      <c r="B474" s="70"/>
      <c r="C474" s="70"/>
      <c r="D474" s="70"/>
      <c r="E474" s="70"/>
      <c r="X474" s="85"/>
    </row>
    <row r="475">
      <c r="B475" s="70"/>
      <c r="C475" s="70"/>
      <c r="D475" s="70"/>
      <c r="E475" s="70"/>
      <c r="X475" s="85"/>
    </row>
    <row r="476">
      <c r="B476" s="70"/>
      <c r="C476" s="70"/>
      <c r="D476" s="70"/>
      <c r="E476" s="70"/>
      <c r="X476" s="85"/>
    </row>
    <row r="477">
      <c r="B477" s="70"/>
      <c r="C477" s="70"/>
      <c r="D477" s="70"/>
      <c r="E477" s="70"/>
      <c r="X477" s="85"/>
    </row>
    <row r="478">
      <c r="B478" s="70"/>
      <c r="C478" s="70"/>
      <c r="D478" s="70"/>
      <c r="E478" s="70"/>
      <c r="X478" s="85"/>
    </row>
    <row r="479">
      <c r="B479" s="70"/>
      <c r="C479" s="70"/>
      <c r="D479" s="70"/>
      <c r="E479" s="70"/>
      <c r="X479" s="85"/>
    </row>
    <row r="480">
      <c r="B480" s="70"/>
      <c r="C480" s="70"/>
      <c r="D480" s="70"/>
      <c r="E480" s="70"/>
      <c r="X480" s="85"/>
    </row>
    <row r="481">
      <c r="B481" s="70"/>
      <c r="C481" s="70"/>
      <c r="D481" s="70"/>
      <c r="E481" s="70"/>
      <c r="X481" s="85"/>
    </row>
    <row r="482">
      <c r="B482" s="70"/>
      <c r="C482" s="70"/>
      <c r="D482" s="70"/>
      <c r="E482" s="70"/>
      <c r="X482" s="85"/>
    </row>
    <row r="483">
      <c r="B483" s="70"/>
      <c r="C483" s="70"/>
      <c r="D483" s="70"/>
      <c r="E483" s="70"/>
      <c r="X483" s="85"/>
    </row>
    <row r="484">
      <c r="B484" s="70"/>
      <c r="C484" s="70"/>
      <c r="D484" s="70"/>
      <c r="E484" s="70"/>
      <c r="X484" s="85"/>
    </row>
    <row r="485">
      <c r="B485" s="70"/>
      <c r="C485" s="70"/>
      <c r="D485" s="70"/>
      <c r="E485" s="70"/>
      <c r="X485" s="85"/>
    </row>
    <row r="486">
      <c r="B486" s="70"/>
      <c r="C486" s="70"/>
      <c r="D486" s="70"/>
      <c r="E486" s="70"/>
      <c r="X486" s="85"/>
    </row>
    <row r="487">
      <c r="B487" s="70"/>
      <c r="C487" s="70"/>
      <c r="D487" s="70"/>
      <c r="E487" s="70"/>
      <c r="X487" s="85"/>
    </row>
    <row r="488">
      <c r="B488" s="70"/>
      <c r="C488" s="70"/>
      <c r="D488" s="70"/>
      <c r="E488" s="70"/>
      <c r="X488" s="85"/>
    </row>
    <row r="489">
      <c r="B489" s="70"/>
      <c r="C489" s="70"/>
      <c r="D489" s="70"/>
      <c r="E489" s="70"/>
      <c r="X489" s="85"/>
    </row>
    <row r="490">
      <c r="B490" s="70"/>
      <c r="C490" s="70"/>
      <c r="D490" s="70"/>
      <c r="E490" s="70"/>
      <c r="X490" s="85"/>
    </row>
    <row r="491">
      <c r="B491" s="70"/>
      <c r="C491" s="70"/>
      <c r="D491" s="70"/>
      <c r="E491" s="70"/>
      <c r="X491" s="85"/>
    </row>
    <row r="492">
      <c r="B492" s="70"/>
      <c r="C492" s="70"/>
      <c r="D492" s="70"/>
      <c r="E492" s="70"/>
      <c r="X492" s="85"/>
    </row>
    <row r="493">
      <c r="B493" s="70"/>
      <c r="C493" s="70"/>
      <c r="D493" s="70"/>
      <c r="E493" s="70"/>
      <c r="X493" s="85"/>
    </row>
    <row r="494">
      <c r="B494" s="70"/>
      <c r="C494" s="70"/>
      <c r="D494" s="70"/>
      <c r="E494" s="70"/>
      <c r="X494" s="85"/>
    </row>
    <row r="495">
      <c r="B495" s="70"/>
      <c r="C495" s="70"/>
      <c r="D495" s="70"/>
      <c r="E495" s="70"/>
      <c r="X495" s="85"/>
    </row>
    <row r="496">
      <c r="B496" s="70"/>
      <c r="C496" s="70"/>
      <c r="D496" s="70"/>
      <c r="E496" s="70"/>
      <c r="X496" s="85"/>
    </row>
    <row r="497">
      <c r="B497" s="70"/>
      <c r="C497" s="70"/>
      <c r="D497" s="70"/>
      <c r="E497" s="70"/>
      <c r="X497" s="85"/>
    </row>
    <row r="498">
      <c r="B498" s="70"/>
      <c r="C498" s="70"/>
      <c r="D498" s="70"/>
      <c r="E498" s="70"/>
      <c r="X498" s="85"/>
    </row>
    <row r="499">
      <c r="B499" s="70"/>
      <c r="C499" s="70"/>
      <c r="D499" s="70"/>
      <c r="E499" s="70"/>
      <c r="X499" s="85"/>
    </row>
    <row r="500">
      <c r="B500" s="70"/>
      <c r="C500" s="70"/>
      <c r="D500" s="70"/>
      <c r="E500" s="70"/>
      <c r="X500" s="85"/>
    </row>
    <row r="501">
      <c r="B501" s="70"/>
      <c r="C501" s="70"/>
      <c r="D501" s="70"/>
      <c r="E501" s="70"/>
      <c r="X501" s="85"/>
    </row>
    <row r="502">
      <c r="B502" s="70"/>
      <c r="C502" s="70"/>
      <c r="D502" s="70"/>
      <c r="E502" s="70"/>
      <c r="X502" s="85"/>
    </row>
    <row r="503">
      <c r="B503" s="70"/>
      <c r="C503" s="70"/>
      <c r="D503" s="70"/>
      <c r="E503" s="70"/>
      <c r="X503" s="85"/>
    </row>
    <row r="504">
      <c r="B504" s="70"/>
      <c r="C504" s="70"/>
      <c r="D504" s="70"/>
      <c r="E504" s="70"/>
      <c r="X504" s="85"/>
    </row>
    <row r="505">
      <c r="B505" s="70"/>
      <c r="C505" s="70"/>
      <c r="D505" s="70"/>
      <c r="E505" s="70"/>
      <c r="X505" s="85"/>
    </row>
    <row r="506">
      <c r="B506" s="70"/>
      <c r="C506" s="70"/>
      <c r="D506" s="70"/>
      <c r="E506" s="70"/>
      <c r="X506" s="85"/>
    </row>
    <row r="507">
      <c r="B507" s="70"/>
      <c r="C507" s="70"/>
      <c r="D507" s="70"/>
      <c r="E507" s="70"/>
      <c r="X507" s="85"/>
    </row>
    <row r="508">
      <c r="B508" s="70"/>
      <c r="C508" s="70"/>
      <c r="D508" s="70"/>
      <c r="E508" s="70"/>
      <c r="X508" s="85"/>
    </row>
    <row r="509">
      <c r="B509" s="70"/>
      <c r="C509" s="70"/>
      <c r="D509" s="70"/>
      <c r="E509" s="70"/>
      <c r="X509" s="85"/>
    </row>
    <row r="510">
      <c r="B510" s="70"/>
      <c r="C510" s="70"/>
      <c r="D510" s="70"/>
      <c r="E510" s="70"/>
      <c r="X510" s="85"/>
    </row>
    <row r="511">
      <c r="B511" s="70"/>
      <c r="C511" s="70"/>
      <c r="D511" s="70"/>
      <c r="E511" s="70"/>
      <c r="X511" s="85"/>
    </row>
    <row r="512">
      <c r="B512" s="70"/>
      <c r="C512" s="70"/>
      <c r="D512" s="70"/>
      <c r="E512" s="70"/>
      <c r="X512" s="85"/>
    </row>
    <row r="513">
      <c r="B513" s="70"/>
      <c r="C513" s="70"/>
      <c r="D513" s="70"/>
      <c r="E513" s="70"/>
      <c r="X513" s="85"/>
    </row>
    <row r="514">
      <c r="B514" s="70"/>
      <c r="C514" s="70"/>
      <c r="D514" s="70"/>
      <c r="E514" s="70"/>
      <c r="X514" s="85"/>
    </row>
    <row r="515">
      <c r="B515" s="70"/>
      <c r="C515" s="70"/>
      <c r="D515" s="70"/>
      <c r="E515" s="70"/>
      <c r="X515" s="85"/>
    </row>
    <row r="516">
      <c r="B516" s="70"/>
      <c r="C516" s="70"/>
      <c r="D516" s="70"/>
      <c r="E516" s="70"/>
      <c r="X516" s="85"/>
    </row>
    <row r="517">
      <c r="B517" s="70"/>
      <c r="C517" s="70"/>
      <c r="D517" s="70"/>
      <c r="E517" s="70"/>
      <c r="X517" s="85"/>
    </row>
    <row r="518">
      <c r="B518" s="70"/>
      <c r="C518" s="70"/>
      <c r="D518" s="70"/>
      <c r="E518" s="70"/>
      <c r="X518" s="85"/>
    </row>
    <row r="519">
      <c r="B519" s="70"/>
      <c r="C519" s="70"/>
      <c r="D519" s="70"/>
      <c r="E519" s="70"/>
      <c r="X519" s="85"/>
    </row>
    <row r="520">
      <c r="B520" s="70"/>
      <c r="C520" s="70"/>
      <c r="D520" s="70"/>
      <c r="E520" s="70"/>
      <c r="X520" s="85"/>
    </row>
    <row r="521">
      <c r="B521" s="70"/>
      <c r="C521" s="70"/>
      <c r="D521" s="70"/>
      <c r="E521" s="70"/>
      <c r="X521" s="85"/>
    </row>
    <row r="522">
      <c r="B522" s="70"/>
      <c r="C522" s="70"/>
      <c r="D522" s="70"/>
      <c r="E522" s="70"/>
      <c r="X522" s="85"/>
    </row>
    <row r="523">
      <c r="B523" s="70"/>
      <c r="C523" s="70"/>
      <c r="D523" s="70"/>
      <c r="E523" s="70"/>
      <c r="X523" s="85"/>
    </row>
    <row r="524">
      <c r="B524" s="70"/>
      <c r="C524" s="70"/>
      <c r="D524" s="70"/>
      <c r="E524" s="70"/>
      <c r="X524" s="85"/>
    </row>
    <row r="525">
      <c r="B525" s="70"/>
      <c r="C525" s="70"/>
      <c r="D525" s="70"/>
      <c r="E525" s="70"/>
      <c r="X525" s="85"/>
    </row>
    <row r="526">
      <c r="B526" s="70"/>
      <c r="C526" s="70"/>
      <c r="D526" s="70"/>
      <c r="E526" s="70"/>
      <c r="X526" s="85"/>
    </row>
    <row r="527">
      <c r="B527" s="70"/>
      <c r="C527" s="70"/>
      <c r="D527" s="70"/>
      <c r="E527" s="70"/>
      <c r="X527" s="85"/>
    </row>
    <row r="528">
      <c r="B528" s="70"/>
      <c r="C528" s="70"/>
      <c r="D528" s="70"/>
      <c r="E528" s="70"/>
      <c r="X528" s="85"/>
    </row>
    <row r="529">
      <c r="B529" s="70"/>
      <c r="C529" s="70"/>
      <c r="D529" s="70"/>
      <c r="E529" s="70"/>
      <c r="X529" s="85"/>
    </row>
    <row r="530">
      <c r="B530" s="70"/>
      <c r="C530" s="70"/>
      <c r="D530" s="70"/>
      <c r="E530" s="70"/>
      <c r="X530" s="85"/>
    </row>
    <row r="531">
      <c r="B531" s="70"/>
      <c r="C531" s="70"/>
      <c r="D531" s="70"/>
      <c r="E531" s="70"/>
      <c r="X531" s="85"/>
    </row>
    <row r="532">
      <c r="B532" s="70"/>
      <c r="C532" s="70"/>
      <c r="D532" s="70"/>
      <c r="E532" s="70"/>
      <c r="X532" s="85"/>
    </row>
    <row r="533">
      <c r="B533" s="70"/>
      <c r="C533" s="70"/>
      <c r="D533" s="70"/>
      <c r="E533" s="70"/>
      <c r="X533" s="85"/>
    </row>
    <row r="534">
      <c r="B534" s="70"/>
      <c r="C534" s="70"/>
      <c r="D534" s="70"/>
      <c r="E534" s="70"/>
      <c r="X534" s="85"/>
    </row>
    <row r="535">
      <c r="B535" s="70"/>
      <c r="C535" s="70"/>
      <c r="D535" s="70"/>
      <c r="E535" s="70"/>
      <c r="X535" s="85"/>
    </row>
    <row r="536">
      <c r="B536" s="70"/>
      <c r="C536" s="70"/>
      <c r="D536" s="70"/>
      <c r="E536" s="70"/>
      <c r="X536" s="85"/>
    </row>
    <row r="537">
      <c r="B537" s="70"/>
      <c r="C537" s="70"/>
      <c r="D537" s="70"/>
      <c r="E537" s="70"/>
      <c r="X537" s="85"/>
    </row>
    <row r="538">
      <c r="B538" s="70"/>
      <c r="C538" s="70"/>
      <c r="D538" s="70"/>
      <c r="E538" s="70"/>
      <c r="X538" s="85"/>
    </row>
    <row r="539">
      <c r="B539" s="70"/>
      <c r="C539" s="70"/>
      <c r="D539" s="70"/>
      <c r="E539" s="70"/>
      <c r="X539" s="85"/>
    </row>
    <row r="540">
      <c r="B540" s="70"/>
      <c r="C540" s="70"/>
      <c r="D540" s="70"/>
      <c r="E540" s="70"/>
      <c r="X540" s="85"/>
    </row>
    <row r="541">
      <c r="B541" s="70"/>
      <c r="C541" s="70"/>
      <c r="D541" s="70"/>
      <c r="E541" s="70"/>
      <c r="X541" s="85"/>
    </row>
    <row r="542">
      <c r="B542" s="70"/>
      <c r="C542" s="70"/>
      <c r="D542" s="70"/>
      <c r="E542" s="70"/>
      <c r="X542" s="85"/>
    </row>
    <row r="543">
      <c r="B543" s="70"/>
      <c r="C543" s="70"/>
      <c r="D543" s="70"/>
      <c r="E543" s="70"/>
      <c r="X543" s="85"/>
    </row>
    <row r="544">
      <c r="B544" s="70"/>
      <c r="C544" s="70"/>
      <c r="D544" s="70"/>
      <c r="E544" s="70"/>
      <c r="X544" s="85"/>
    </row>
    <row r="545">
      <c r="B545" s="70"/>
      <c r="C545" s="70"/>
      <c r="D545" s="70"/>
      <c r="E545" s="70"/>
      <c r="X545" s="85"/>
    </row>
    <row r="546">
      <c r="B546" s="70"/>
      <c r="C546" s="70"/>
      <c r="D546" s="70"/>
      <c r="E546" s="70"/>
      <c r="X546" s="85"/>
    </row>
    <row r="547">
      <c r="B547" s="70"/>
      <c r="C547" s="70"/>
      <c r="D547" s="70"/>
      <c r="E547" s="70"/>
      <c r="X547" s="85"/>
    </row>
    <row r="548">
      <c r="B548" s="70"/>
      <c r="C548" s="70"/>
      <c r="D548" s="70"/>
      <c r="E548" s="70"/>
      <c r="X548" s="85"/>
    </row>
    <row r="549">
      <c r="B549" s="70"/>
      <c r="C549" s="70"/>
      <c r="D549" s="70"/>
      <c r="E549" s="70"/>
      <c r="X549" s="85"/>
    </row>
    <row r="550">
      <c r="B550" s="70"/>
      <c r="C550" s="70"/>
      <c r="D550" s="70"/>
      <c r="E550" s="70"/>
      <c r="X550" s="85"/>
    </row>
    <row r="551">
      <c r="B551" s="70"/>
      <c r="C551" s="70"/>
      <c r="D551" s="70"/>
      <c r="E551" s="70"/>
      <c r="X551" s="85"/>
    </row>
    <row r="552">
      <c r="B552" s="70"/>
      <c r="C552" s="70"/>
      <c r="D552" s="70"/>
      <c r="E552" s="70"/>
      <c r="X552" s="85"/>
    </row>
    <row r="553">
      <c r="B553" s="70"/>
      <c r="C553" s="70"/>
      <c r="D553" s="70"/>
      <c r="E553" s="70"/>
      <c r="X553" s="85"/>
    </row>
    <row r="554">
      <c r="B554" s="70"/>
      <c r="C554" s="70"/>
      <c r="D554" s="70"/>
      <c r="E554" s="70"/>
      <c r="X554" s="85"/>
    </row>
    <row r="555">
      <c r="B555" s="70"/>
      <c r="C555" s="70"/>
      <c r="D555" s="70"/>
      <c r="E555" s="70"/>
      <c r="X555" s="85"/>
    </row>
    <row r="556">
      <c r="B556" s="70"/>
      <c r="C556" s="70"/>
      <c r="D556" s="70"/>
      <c r="E556" s="70"/>
      <c r="X556" s="85"/>
    </row>
    <row r="557">
      <c r="B557" s="70"/>
      <c r="C557" s="70"/>
      <c r="D557" s="70"/>
      <c r="E557" s="70"/>
      <c r="X557" s="85"/>
    </row>
    <row r="558">
      <c r="B558" s="70"/>
      <c r="C558" s="70"/>
      <c r="D558" s="70"/>
      <c r="E558" s="70"/>
      <c r="X558" s="85"/>
    </row>
    <row r="559">
      <c r="B559" s="70"/>
      <c r="C559" s="70"/>
      <c r="D559" s="70"/>
      <c r="E559" s="70"/>
      <c r="X559" s="85"/>
    </row>
    <row r="560">
      <c r="B560" s="70"/>
      <c r="C560" s="70"/>
      <c r="D560" s="70"/>
      <c r="E560" s="70"/>
      <c r="X560" s="85"/>
    </row>
    <row r="561">
      <c r="B561" s="70"/>
      <c r="C561" s="70"/>
      <c r="D561" s="70"/>
      <c r="E561" s="70"/>
      <c r="X561" s="85"/>
    </row>
    <row r="562">
      <c r="B562" s="70"/>
      <c r="C562" s="70"/>
      <c r="D562" s="70"/>
      <c r="E562" s="70"/>
      <c r="X562" s="85"/>
    </row>
    <row r="563">
      <c r="B563" s="70"/>
      <c r="C563" s="70"/>
      <c r="D563" s="70"/>
      <c r="E563" s="70"/>
      <c r="X563" s="85"/>
    </row>
    <row r="564">
      <c r="B564" s="70"/>
      <c r="C564" s="70"/>
      <c r="D564" s="70"/>
      <c r="E564" s="70"/>
      <c r="X564" s="85"/>
    </row>
    <row r="565">
      <c r="B565" s="70"/>
      <c r="C565" s="70"/>
      <c r="D565" s="70"/>
      <c r="E565" s="70"/>
      <c r="X565" s="85"/>
    </row>
    <row r="566">
      <c r="B566" s="70"/>
      <c r="C566" s="70"/>
      <c r="D566" s="70"/>
      <c r="E566" s="70"/>
      <c r="X566" s="85"/>
    </row>
    <row r="567">
      <c r="B567" s="70"/>
      <c r="C567" s="70"/>
      <c r="D567" s="70"/>
      <c r="E567" s="70"/>
      <c r="X567" s="85"/>
    </row>
    <row r="568">
      <c r="B568" s="70"/>
      <c r="C568" s="70"/>
      <c r="D568" s="70"/>
      <c r="E568" s="70"/>
      <c r="X568" s="85"/>
    </row>
    <row r="569">
      <c r="B569" s="70"/>
      <c r="C569" s="70"/>
      <c r="D569" s="70"/>
      <c r="E569" s="70"/>
      <c r="X569" s="85"/>
    </row>
    <row r="570">
      <c r="B570" s="70"/>
      <c r="C570" s="70"/>
      <c r="D570" s="70"/>
      <c r="E570" s="70"/>
      <c r="X570" s="85"/>
    </row>
    <row r="571">
      <c r="B571" s="70"/>
      <c r="C571" s="70"/>
      <c r="D571" s="70"/>
      <c r="E571" s="70"/>
      <c r="X571" s="85"/>
    </row>
    <row r="572">
      <c r="B572" s="70"/>
      <c r="C572" s="70"/>
      <c r="D572" s="70"/>
      <c r="E572" s="70"/>
      <c r="X572" s="85"/>
    </row>
    <row r="573">
      <c r="B573" s="70"/>
      <c r="C573" s="70"/>
      <c r="D573" s="70"/>
      <c r="E573" s="70"/>
      <c r="X573" s="85"/>
    </row>
    <row r="574">
      <c r="B574" s="70"/>
      <c r="C574" s="70"/>
      <c r="D574" s="70"/>
      <c r="E574" s="70"/>
      <c r="X574" s="85"/>
    </row>
    <row r="575">
      <c r="B575" s="70"/>
      <c r="C575" s="70"/>
      <c r="D575" s="70"/>
      <c r="E575" s="70"/>
      <c r="X575" s="85"/>
    </row>
    <row r="576">
      <c r="B576" s="70"/>
      <c r="C576" s="70"/>
      <c r="D576" s="70"/>
      <c r="E576" s="70"/>
      <c r="X576" s="85"/>
    </row>
    <row r="577">
      <c r="B577" s="70"/>
      <c r="C577" s="70"/>
      <c r="D577" s="70"/>
      <c r="E577" s="70"/>
      <c r="X577" s="85"/>
    </row>
    <row r="578">
      <c r="B578" s="70"/>
      <c r="C578" s="70"/>
      <c r="D578" s="70"/>
      <c r="E578" s="70"/>
      <c r="X578" s="85"/>
    </row>
    <row r="579">
      <c r="B579" s="70"/>
      <c r="C579" s="70"/>
      <c r="D579" s="70"/>
      <c r="E579" s="70"/>
      <c r="X579" s="85"/>
    </row>
    <row r="580">
      <c r="B580" s="70"/>
      <c r="C580" s="70"/>
      <c r="D580" s="70"/>
      <c r="E580" s="70"/>
      <c r="X580" s="85"/>
    </row>
    <row r="581">
      <c r="B581" s="70"/>
      <c r="C581" s="70"/>
      <c r="D581" s="70"/>
      <c r="E581" s="70"/>
      <c r="X581" s="85"/>
    </row>
    <row r="582">
      <c r="B582" s="70"/>
      <c r="C582" s="70"/>
      <c r="D582" s="70"/>
      <c r="E582" s="70"/>
      <c r="X582" s="85"/>
    </row>
    <row r="583">
      <c r="B583" s="70"/>
      <c r="C583" s="70"/>
      <c r="D583" s="70"/>
      <c r="E583" s="70"/>
      <c r="X583" s="85"/>
    </row>
    <row r="584">
      <c r="B584" s="70"/>
      <c r="C584" s="70"/>
      <c r="D584" s="70"/>
      <c r="E584" s="70"/>
      <c r="X584" s="85"/>
    </row>
    <row r="585">
      <c r="B585" s="70"/>
      <c r="C585" s="70"/>
      <c r="D585" s="70"/>
      <c r="E585" s="70"/>
      <c r="X585" s="85"/>
    </row>
    <row r="586">
      <c r="B586" s="70"/>
      <c r="C586" s="70"/>
      <c r="D586" s="70"/>
      <c r="E586" s="70"/>
      <c r="X586" s="85"/>
    </row>
    <row r="587">
      <c r="B587" s="70"/>
      <c r="C587" s="70"/>
      <c r="D587" s="70"/>
      <c r="E587" s="70"/>
      <c r="X587" s="85"/>
    </row>
    <row r="588">
      <c r="B588" s="70"/>
      <c r="C588" s="70"/>
      <c r="D588" s="70"/>
      <c r="E588" s="70"/>
      <c r="X588" s="85"/>
    </row>
    <row r="589">
      <c r="B589" s="70"/>
      <c r="C589" s="70"/>
      <c r="D589" s="70"/>
      <c r="E589" s="70"/>
      <c r="X589" s="85"/>
    </row>
    <row r="590">
      <c r="B590" s="70"/>
      <c r="C590" s="70"/>
      <c r="D590" s="70"/>
      <c r="E590" s="70"/>
      <c r="X590" s="85"/>
    </row>
    <row r="591">
      <c r="B591" s="70"/>
      <c r="C591" s="70"/>
      <c r="D591" s="70"/>
      <c r="E591" s="70"/>
      <c r="X591" s="85"/>
    </row>
    <row r="592">
      <c r="B592" s="70"/>
      <c r="C592" s="70"/>
      <c r="D592" s="70"/>
      <c r="E592" s="70"/>
      <c r="X592" s="85"/>
    </row>
    <row r="593">
      <c r="B593" s="70"/>
      <c r="C593" s="70"/>
      <c r="D593" s="70"/>
      <c r="E593" s="70"/>
      <c r="X593" s="85"/>
    </row>
    <row r="594">
      <c r="B594" s="70"/>
      <c r="C594" s="70"/>
      <c r="D594" s="70"/>
      <c r="E594" s="70"/>
      <c r="X594" s="85"/>
    </row>
    <row r="595">
      <c r="B595" s="70"/>
      <c r="C595" s="70"/>
      <c r="D595" s="70"/>
      <c r="E595" s="70"/>
      <c r="X595" s="85"/>
    </row>
    <row r="596">
      <c r="B596" s="70"/>
      <c r="C596" s="70"/>
      <c r="D596" s="70"/>
      <c r="E596" s="70"/>
      <c r="X596" s="85"/>
    </row>
    <row r="597">
      <c r="B597" s="70"/>
      <c r="C597" s="70"/>
      <c r="D597" s="70"/>
      <c r="E597" s="70"/>
      <c r="X597" s="85"/>
    </row>
    <row r="598">
      <c r="B598" s="70"/>
      <c r="C598" s="70"/>
      <c r="D598" s="70"/>
      <c r="E598" s="70"/>
      <c r="X598" s="85"/>
    </row>
    <row r="599">
      <c r="B599" s="70"/>
      <c r="C599" s="70"/>
      <c r="D599" s="70"/>
      <c r="E599" s="70"/>
      <c r="X599" s="85"/>
    </row>
    <row r="600">
      <c r="B600" s="70"/>
      <c r="C600" s="70"/>
      <c r="D600" s="70"/>
      <c r="E600" s="70"/>
      <c r="X600" s="85"/>
    </row>
    <row r="601">
      <c r="B601" s="70"/>
      <c r="C601" s="70"/>
      <c r="D601" s="70"/>
      <c r="E601" s="70"/>
      <c r="X601" s="85"/>
    </row>
    <row r="602">
      <c r="B602" s="70"/>
      <c r="C602" s="70"/>
      <c r="D602" s="70"/>
      <c r="E602" s="70"/>
      <c r="X602" s="85"/>
    </row>
    <row r="603">
      <c r="B603" s="70"/>
      <c r="C603" s="70"/>
      <c r="D603" s="70"/>
      <c r="E603" s="70"/>
      <c r="X603" s="85"/>
    </row>
    <row r="604">
      <c r="B604" s="70"/>
      <c r="C604" s="70"/>
      <c r="D604" s="70"/>
      <c r="E604" s="70"/>
      <c r="X604" s="85"/>
    </row>
    <row r="605">
      <c r="B605" s="70"/>
      <c r="C605" s="70"/>
      <c r="D605" s="70"/>
      <c r="E605" s="70"/>
      <c r="X605" s="85"/>
    </row>
    <row r="606">
      <c r="B606" s="70"/>
      <c r="C606" s="70"/>
      <c r="D606" s="70"/>
      <c r="E606" s="70"/>
      <c r="X606" s="85"/>
    </row>
    <row r="607">
      <c r="B607" s="70"/>
      <c r="C607" s="70"/>
      <c r="D607" s="70"/>
      <c r="E607" s="70"/>
      <c r="X607" s="85"/>
    </row>
    <row r="608">
      <c r="B608" s="70"/>
      <c r="C608" s="70"/>
      <c r="D608" s="70"/>
      <c r="E608" s="70"/>
      <c r="X608" s="85"/>
    </row>
    <row r="609">
      <c r="B609" s="70"/>
      <c r="C609" s="70"/>
      <c r="D609" s="70"/>
      <c r="E609" s="70"/>
      <c r="X609" s="85"/>
    </row>
    <row r="610">
      <c r="B610" s="70"/>
      <c r="C610" s="70"/>
      <c r="D610" s="70"/>
      <c r="E610" s="70"/>
      <c r="X610" s="85"/>
    </row>
    <row r="611">
      <c r="B611" s="70"/>
      <c r="C611" s="70"/>
      <c r="D611" s="70"/>
      <c r="E611" s="70"/>
      <c r="X611" s="85"/>
    </row>
    <row r="612">
      <c r="B612" s="70"/>
      <c r="C612" s="70"/>
      <c r="D612" s="70"/>
      <c r="E612" s="70"/>
      <c r="X612" s="85"/>
    </row>
    <row r="613">
      <c r="B613" s="70"/>
      <c r="C613" s="70"/>
      <c r="D613" s="70"/>
      <c r="E613" s="70"/>
      <c r="X613" s="85"/>
    </row>
    <row r="614">
      <c r="B614" s="70"/>
      <c r="C614" s="70"/>
      <c r="D614" s="70"/>
      <c r="E614" s="70"/>
      <c r="X614" s="85"/>
    </row>
    <row r="615">
      <c r="B615" s="70"/>
      <c r="C615" s="70"/>
      <c r="D615" s="70"/>
      <c r="E615" s="70"/>
      <c r="X615" s="85"/>
    </row>
    <row r="616">
      <c r="B616" s="70"/>
      <c r="C616" s="70"/>
      <c r="D616" s="70"/>
      <c r="E616" s="70"/>
      <c r="X616" s="85"/>
    </row>
    <row r="617">
      <c r="B617" s="70"/>
      <c r="C617" s="70"/>
      <c r="D617" s="70"/>
      <c r="E617" s="70"/>
      <c r="X617" s="85"/>
    </row>
    <row r="618">
      <c r="B618" s="70"/>
      <c r="C618" s="70"/>
      <c r="D618" s="70"/>
      <c r="E618" s="70"/>
      <c r="X618" s="85"/>
    </row>
    <row r="619">
      <c r="B619" s="70"/>
      <c r="C619" s="70"/>
      <c r="D619" s="70"/>
      <c r="E619" s="70"/>
      <c r="X619" s="85"/>
    </row>
    <row r="620">
      <c r="B620" s="70"/>
      <c r="C620" s="70"/>
      <c r="D620" s="70"/>
      <c r="E620" s="70"/>
      <c r="X620" s="85"/>
    </row>
    <row r="621">
      <c r="B621" s="70"/>
      <c r="C621" s="70"/>
      <c r="D621" s="70"/>
      <c r="E621" s="70"/>
      <c r="X621" s="85"/>
    </row>
    <row r="622">
      <c r="B622" s="70"/>
      <c r="C622" s="70"/>
      <c r="D622" s="70"/>
      <c r="E622" s="70"/>
      <c r="X622" s="85"/>
    </row>
    <row r="623">
      <c r="B623" s="70"/>
      <c r="C623" s="70"/>
      <c r="D623" s="70"/>
      <c r="E623" s="70"/>
      <c r="X623" s="85"/>
    </row>
    <row r="624">
      <c r="B624" s="70"/>
      <c r="C624" s="70"/>
      <c r="D624" s="70"/>
      <c r="E624" s="70"/>
      <c r="X624" s="85"/>
    </row>
    <row r="625">
      <c r="B625" s="70"/>
      <c r="C625" s="70"/>
      <c r="D625" s="70"/>
      <c r="E625" s="70"/>
      <c r="X625" s="85"/>
    </row>
    <row r="626">
      <c r="B626" s="70"/>
      <c r="C626" s="70"/>
      <c r="D626" s="70"/>
      <c r="E626" s="70"/>
      <c r="X626" s="85"/>
    </row>
    <row r="627">
      <c r="B627" s="70"/>
      <c r="C627" s="70"/>
      <c r="D627" s="70"/>
      <c r="E627" s="70"/>
      <c r="X627" s="85"/>
    </row>
    <row r="628">
      <c r="B628" s="70"/>
      <c r="C628" s="70"/>
      <c r="D628" s="70"/>
      <c r="E628" s="70"/>
      <c r="X628" s="85"/>
    </row>
    <row r="629">
      <c r="B629" s="70"/>
      <c r="C629" s="70"/>
      <c r="D629" s="70"/>
      <c r="E629" s="70"/>
      <c r="X629" s="85"/>
    </row>
    <row r="630">
      <c r="B630" s="70"/>
      <c r="C630" s="70"/>
      <c r="D630" s="70"/>
      <c r="E630" s="70"/>
      <c r="X630" s="85"/>
    </row>
    <row r="631">
      <c r="B631" s="70"/>
      <c r="C631" s="70"/>
      <c r="D631" s="70"/>
      <c r="E631" s="70"/>
      <c r="X631" s="85"/>
    </row>
    <row r="632">
      <c r="B632" s="70"/>
      <c r="C632" s="70"/>
      <c r="D632" s="70"/>
      <c r="E632" s="70"/>
      <c r="X632" s="85"/>
    </row>
    <row r="633">
      <c r="B633" s="70"/>
      <c r="C633" s="70"/>
      <c r="D633" s="70"/>
      <c r="E633" s="70"/>
      <c r="X633" s="85"/>
    </row>
    <row r="634">
      <c r="B634" s="70"/>
      <c r="C634" s="70"/>
      <c r="D634" s="70"/>
      <c r="E634" s="70"/>
      <c r="X634" s="85"/>
    </row>
    <row r="635">
      <c r="B635" s="70"/>
      <c r="C635" s="70"/>
      <c r="D635" s="70"/>
      <c r="E635" s="70"/>
      <c r="X635" s="85"/>
    </row>
    <row r="636">
      <c r="B636" s="70"/>
      <c r="C636" s="70"/>
      <c r="D636" s="70"/>
      <c r="E636" s="70"/>
      <c r="X636" s="85"/>
    </row>
    <row r="637">
      <c r="B637" s="70"/>
      <c r="C637" s="70"/>
      <c r="D637" s="70"/>
      <c r="E637" s="70"/>
      <c r="X637" s="85"/>
    </row>
    <row r="638">
      <c r="B638" s="70"/>
      <c r="C638" s="70"/>
      <c r="D638" s="70"/>
      <c r="E638" s="70"/>
      <c r="X638" s="85"/>
    </row>
    <row r="639">
      <c r="B639" s="70"/>
      <c r="C639" s="70"/>
      <c r="D639" s="70"/>
      <c r="E639" s="70"/>
      <c r="X639" s="85"/>
    </row>
    <row r="640">
      <c r="B640" s="70"/>
      <c r="C640" s="70"/>
      <c r="D640" s="70"/>
      <c r="E640" s="70"/>
      <c r="X640" s="85"/>
    </row>
    <row r="641">
      <c r="B641" s="70"/>
      <c r="C641" s="70"/>
      <c r="D641" s="70"/>
      <c r="E641" s="70"/>
      <c r="X641" s="85"/>
    </row>
    <row r="642">
      <c r="B642" s="70"/>
      <c r="C642" s="70"/>
      <c r="D642" s="70"/>
      <c r="E642" s="70"/>
      <c r="X642" s="85"/>
    </row>
    <row r="643">
      <c r="B643" s="70"/>
      <c r="C643" s="70"/>
      <c r="D643" s="70"/>
      <c r="E643" s="70"/>
      <c r="X643" s="85"/>
    </row>
    <row r="644">
      <c r="B644" s="70"/>
      <c r="C644" s="70"/>
      <c r="D644" s="70"/>
      <c r="E644" s="70"/>
      <c r="X644" s="85"/>
    </row>
    <row r="645">
      <c r="B645" s="70"/>
      <c r="C645" s="70"/>
      <c r="D645" s="70"/>
      <c r="E645" s="70"/>
      <c r="X645" s="85"/>
    </row>
    <row r="646">
      <c r="B646" s="70"/>
      <c r="C646" s="70"/>
      <c r="D646" s="70"/>
      <c r="E646" s="70"/>
      <c r="X646" s="85"/>
    </row>
    <row r="647">
      <c r="B647" s="70"/>
      <c r="C647" s="70"/>
      <c r="D647" s="70"/>
      <c r="E647" s="70"/>
      <c r="X647" s="85"/>
    </row>
    <row r="648">
      <c r="B648" s="70"/>
      <c r="C648" s="70"/>
      <c r="D648" s="70"/>
      <c r="E648" s="70"/>
      <c r="X648" s="85"/>
    </row>
    <row r="649">
      <c r="B649" s="70"/>
      <c r="C649" s="70"/>
      <c r="D649" s="70"/>
      <c r="E649" s="70"/>
      <c r="X649" s="85"/>
    </row>
    <row r="650">
      <c r="B650" s="70"/>
      <c r="C650" s="70"/>
      <c r="D650" s="70"/>
      <c r="E650" s="70"/>
      <c r="X650" s="85"/>
    </row>
    <row r="651">
      <c r="B651" s="70"/>
      <c r="C651" s="70"/>
      <c r="D651" s="70"/>
      <c r="E651" s="70"/>
      <c r="X651" s="85"/>
    </row>
    <row r="652">
      <c r="B652" s="70"/>
      <c r="C652" s="70"/>
      <c r="D652" s="70"/>
      <c r="E652" s="70"/>
      <c r="X652" s="85"/>
    </row>
    <row r="653">
      <c r="B653" s="70"/>
      <c r="C653" s="70"/>
      <c r="D653" s="70"/>
      <c r="E653" s="70"/>
      <c r="X653" s="85"/>
    </row>
    <row r="654">
      <c r="B654" s="70"/>
      <c r="C654" s="70"/>
      <c r="D654" s="70"/>
      <c r="E654" s="70"/>
      <c r="X654" s="85"/>
    </row>
    <row r="655">
      <c r="B655" s="70"/>
      <c r="C655" s="70"/>
      <c r="D655" s="70"/>
      <c r="E655" s="70"/>
      <c r="X655" s="85"/>
    </row>
    <row r="656">
      <c r="B656" s="70"/>
      <c r="C656" s="70"/>
      <c r="D656" s="70"/>
      <c r="E656" s="70"/>
      <c r="X656" s="85"/>
    </row>
    <row r="657">
      <c r="B657" s="70"/>
      <c r="C657" s="70"/>
      <c r="D657" s="70"/>
      <c r="E657" s="70"/>
      <c r="X657" s="85"/>
    </row>
    <row r="658">
      <c r="B658" s="70"/>
      <c r="C658" s="70"/>
      <c r="D658" s="70"/>
      <c r="E658" s="70"/>
      <c r="X658" s="85"/>
    </row>
    <row r="659">
      <c r="B659" s="70"/>
      <c r="C659" s="70"/>
      <c r="D659" s="70"/>
      <c r="E659" s="70"/>
      <c r="X659" s="85"/>
    </row>
    <row r="660">
      <c r="B660" s="70"/>
      <c r="C660" s="70"/>
      <c r="D660" s="70"/>
      <c r="E660" s="70"/>
      <c r="X660" s="85"/>
    </row>
    <row r="661">
      <c r="B661" s="70"/>
      <c r="C661" s="70"/>
      <c r="D661" s="70"/>
      <c r="E661" s="70"/>
      <c r="X661" s="85"/>
    </row>
    <row r="662">
      <c r="B662" s="70"/>
      <c r="C662" s="70"/>
      <c r="D662" s="70"/>
      <c r="E662" s="70"/>
      <c r="X662" s="85"/>
    </row>
    <row r="663">
      <c r="B663" s="70"/>
      <c r="C663" s="70"/>
      <c r="D663" s="70"/>
      <c r="E663" s="70"/>
      <c r="X663" s="85"/>
    </row>
    <row r="664">
      <c r="B664" s="70"/>
      <c r="C664" s="70"/>
      <c r="D664" s="70"/>
      <c r="E664" s="70"/>
      <c r="X664" s="85"/>
    </row>
    <row r="665">
      <c r="B665" s="70"/>
      <c r="C665" s="70"/>
      <c r="D665" s="70"/>
      <c r="E665" s="70"/>
      <c r="X665" s="85"/>
    </row>
    <row r="666">
      <c r="B666" s="70"/>
      <c r="C666" s="70"/>
      <c r="D666" s="70"/>
      <c r="E666" s="70"/>
      <c r="X666" s="85"/>
    </row>
    <row r="667">
      <c r="B667" s="70"/>
      <c r="C667" s="70"/>
      <c r="D667" s="70"/>
      <c r="E667" s="70"/>
      <c r="X667" s="85"/>
    </row>
    <row r="668">
      <c r="B668" s="70"/>
      <c r="C668" s="70"/>
      <c r="D668" s="70"/>
      <c r="E668" s="70"/>
      <c r="X668" s="85"/>
    </row>
    <row r="669">
      <c r="B669" s="70"/>
      <c r="C669" s="70"/>
      <c r="D669" s="70"/>
      <c r="E669" s="70"/>
      <c r="X669" s="85"/>
    </row>
    <row r="670">
      <c r="B670" s="70"/>
      <c r="C670" s="70"/>
      <c r="D670" s="70"/>
      <c r="E670" s="70"/>
      <c r="X670" s="85"/>
    </row>
    <row r="671">
      <c r="B671" s="70"/>
      <c r="C671" s="70"/>
      <c r="D671" s="70"/>
      <c r="E671" s="70"/>
      <c r="X671" s="85"/>
    </row>
    <row r="672">
      <c r="B672" s="70"/>
      <c r="C672" s="70"/>
      <c r="D672" s="70"/>
      <c r="E672" s="70"/>
      <c r="X672" s="85"/>
    </row>
    <row r="673">
      <c r="B673" s="70"/>
      <c r="C673" s="70"/>
      <c r="D673" s="70"/>
      <c r="E673" s="70"/>
      <c r="X673" s="85"/>
    </row>
    <row r="674">
      <c r="B674" s="70"/>
      <c r="C674" s="70"/>
      <c r="D674" s="70"/>
      <c r="E674" s="70"/>
      <c r="X674" s="85"/>
    </row>
    <row r="675">
      <c r="B675" s="70"/>
      <c r="C675" s="70"/>
      <c r="D675" s="70"/>
      <c r="E675" s="70"/>
      <c r="X675" s="85"/>
    </row>
    <row r="676">
      <c r="B676" s="70"/>
      <c r="C676" s="70"/>
      <c r="D676" s="70"/>
      <c r="E676" s="70"/>
      <c r="X676" s="85"/>
    </row>
    <row r="677">
      <c r="B677" s="70"/>
      <c r="C677" s="70"/>
      <c r="D677" s="70"/>
      <c r="E677" s="70"/>
      <c r="X677" s="85"/>
    </row>
    <row r="678">
      <c r="B678" s="70"/>
      <c r="C678" s="70"/>
      <c r="D678" s="70"/>
      <c r="E678" s="70"/>
      <c r="X678" s="85"/>
    </row>
    <row r="679">
      <c r="B679" s="70"/>
      <c r="C679" s="70"/>
      <c r="D679" s="70"/>
      <c r="E679" s="70"/>
      <c r="X679" s="85"/>
    </row>
    <row r="680">
      <c r="B680" s="70"/>
      <c r="C680" s="70"/>
      <c r="D680" s="70"/>
      <c r="E680" s="70"/>
      <c r="X680" s="85"/>
    </row>
    <row r="681">
      <c r="B681" s="70"/>
      <c r="C681" s="70"/>
      <c r="D681" s="70"/>
      <c r="E681" s="70"/>
      <c r="X681" s="85"/>
    </row>
    <row r="682">
      <c r="B682" s="70"/>
      <c r="C682" s="70"/>
      <c r="D682" s="70"/>
      <c r="E682" s="70"/>
      <c r="X682" s="85"/>
    </row>
    <row r="683">
      <c r="B683" s="70"/>
      <c r="C683" s="70"/>
      <c r="D683" s="70"/>
      <c r="E683" s="70"/>
      <c r="X683" s="85"/>
    </row>
    <row r="684">
      <c r="B684" s="70"/>
      <c r="C684" s="70"/>
      <c r="D684" s="70"/>
      <c r="E684" s="70"/>
      <c r="X684" s="85"/>
    </row>
    <row r="685">
      <c r="B685" s="70"/>
      <c r="C685" s="70"/>
      <c r="D685" s="70"/>
      <c r="E685" s="70"/>
      <c r="X685" s="85"/>
    </row>
    <row r="686">
      <c r="B686" s="70"/>
      <c r="C686" s="70"/>
      <c r="D686" s="70"/>
      <c r="E686" s="70"/>
      <c r="X686" s="85"/>
    </row>
    <row r="687">
      <c r="B687" s="70"/>
      <c r="C687" s="70"/>
      <c r="D687" s="70"/>
      <c r="E687" s="70"/>
      <c r="X687" s="85"/>
    </row>
    <row r="688">
      <c r="B688" s="70"/>
      <c r="C688" s="70"/>
      <c r="D688" s="70"/>
      <c r="E688" s="70"/>
      <c r="X688" s="85"/>
    </row>
    <row r="689">
      <c r="B689" s="70"/>
      <c r="C689" s="70"/>
      <c r="D689" s="70"/>
      <c r="E689" s="70"/>
      <c r="X689" s="85"/>
    </row>
    <row r="690">
      <c r="B690" s="70"/>
      <c r="C690" s="70"/>
      <c r="D690" s="70"/>
      <c r="E690" s="70"/>
      <c r="X690" s="85"/>
    </row>
    <row r="691">
      <c r="B691" s="70"/>
      <c r="C691" s="70"/>
      <c r="D691" s="70"/>
      <c r="E691" s="70"/>
      <c r="X691" s="85"/>
    </row>
    <row r="692">
      <c r="B692" s="70"/>
      <c r="C692" s="70"/>
      <c r="D692" s="70"/>
      <c r="E692" s="70"/>
      <c r="X692" s="85"/>
    </row>
    <row r="693">
      <c r="B693" s="70"/>
      <c r="C693" s="70"/>
      <c r="D693" s="70"/>
      <c r="E693" s="70"/>
      <c r="X693" s="85"/>
    </row>
    <row r="694">
      <c r="B694" s="70"/>
      <c r="C694" s="70"/>
      <c r="D694" s="70"/>
      <c r="E694" s="70"/>
      <c r="X694" s="85"/>
    </row>
    <row r="695">
      <c r="B695" s="70"/>
      <c r="C695" s="70"/>
      <c r="D695" s="70"/>
      <c r="E695" s="70"/>
      <c r="X695" s="85"/>
    </row>
    <row r="696">
      <c r="B696" s="70"/>
      <c r="C696" s="70"/>
      <c r="D696" s="70"/>
      <c r="E696" s="70"/>
      <c r="X696" s="85"/>
    </row>
    <row r="697">
      <c r="B697" s="70"/>
      <c r="C697" s="70"/>
      <c r="D697" s="70"/>
      <c r="E697" s="70"/>
      <c r="X697" s="85"/>
    </row>
    <row r="698">
      <c r="B698" s="70"/>
      <c r="C698" s="70"/>
      <c r="D698" s="70"/>
      <c r="E698" s="70"/>
      <c r="X698" s="85"/>
    </row>
    <row r="699">
      <c r="B699" s="70"/>
      <c r="C699" s="70"/>
      <c r="D699" s="70"/>
      <c r="E699" s="70"/>
      <c r="X699" s="85"/>
    </row>
    <row r="700">
      <c r="B700" s="70"/>
      <c r="C700" s="70"/>
      <c r="D700" s="70"/>
      <c r="E700" s="70"/>
      <c r="X700" s="85"/>
    </row>
    <row r="701">
      <c r="B701" s="70"/>
      <c r="C701" s="70"/>
      <c r="D701" s="70"/>
      <c r="E701" s="70"/>
      <c r="X701" s="85"/>
    </row>
    <row r="702">
      <c r="B702" s="70"/>
      <c r="C702" s="70"/>
      <c r="D702" s="70"/>
      <c r="E702" s="70"/>
      <c r="X702" s="85"/>
    </row>
    <row r="703">
      <c r="B703" s="70"/>
      <c r="C703" s="70"/>
      <c r="D703" s="70"/>
      <c r="E703" s="70"/>
      <c r="X703" s="85"/>
    </row>
    <row r="704">
      <c r="B704" s="70"/>
      <c r="C704" s="70"/>
      <c r="D704" s="70"/>
      <c r="E704" s="70"/>
      <c r="X704" s="85"/>
    </row>
    <row r="705">
      <c r="B705" s="70"/>
      <c r="C705" s="70"/>
      <c r="D705" s="70"/>
      <c r="E705" s="70"/>
      <c r="X705" s="85"/>
    </row>
    <row r="706">
      <c r="B706" s="70"/>
      <c r="C706" s="70"/>
      <c r="D706" s="70"/>
      <c r="E706" s="70"/>
      <c r="X706" s="85"/>
    </row>
    <row r="707">
      <c r="B707" s="70"/>
      <c r="C707" s="70"/>
      <c r="D707" s="70"/>
      <c r="E707" s="70"/>
      <c r="X707" s="85"/>
    </row>
    <row r="708">
      <c r="B708" s="70"/>
      <c r="C708" s="70"/>
      <c r="D708" s="70"/>
      <c r="E708" s="70"/>
      <c r="X708" s="85"/>
    </row>
    <row r="709">
      <c r="B709" s="70"/>
      <c r="C709" s="70"/>
      <c r="D709" s="70"/>
      <c r="E709" s="70"/>
      <c r="X709" s="85"/>
    </row>
    <row r="710">
      <c r="B710" s="70"/>
      <c r="C710" s="70"/>
      <c r="D710" s="70"/>
      <c r="E710" s="70"/>
      <c r="X710" s="85"/>
    </row>
    <row r="711">
      <c r="B711" s="70"/>
      <c r="C711" s="70"/>
      <c r="D711" s="70"/>
      <c r="E711" s="70"/>
      <c r="X711" s="85"/>
    </row>
    <row r="712">
      <c r="B712" s="70"/>
      <c r="C712" s="70"/>
      <c r="D712" s="70"/>
      <c r="E712" s="70"/>
      <c r="X712" s="85"/>
    </row>
    <row r="713">
      <c r="B713" s="70"/>
      <c r="C713" s="70"/>
      <c r="D713" s="70"/>
      <c r="E713" s="70"/>
      <c r="X713" s="85"/>
    </row>
    <row r="714">
      <c r="B714" s="70"/>
      <c r="C714" s="70"/>
      <c r="D714" s="70"/>
      <c r="E714" s="70"/>
      <c r="X714" s="85"/>
    </row>
    <row r="715">
      <c r="B715" s="70"/>
      <c r="C715" s="70"/>
      <c r="D715" s="70"/>
      <c r="E715" s="70"/>
      <c r="X715" s="85"/>
    </row>
    <row r="716">
      <c r="B716" s="70"/>
      <c r="C716" s="70"/>
      <c r="D716" s="70"/>
      <c r="E716" s="70"/>
      <c r="X716" s="85"/>
    </row>
    <row r="717">
      <c r="B717" s="70"/>
      <c r="C717" s="70"/>
      <c r="D717" s="70"/>
      <c r="E717" s="70"/>
      <c r="X717" s="85"/>
    </row>
    <row r="718">
      <c r="B718" s="70"/>
      <c r="C718" s="70"/>
      <c r="D718" s="70"/>
      <c r="E718" s="70"/>
      <c r="X718" s="85"/>
    </row>
    <row r="719">
      <c r="B719" s="70"/>
      <c r="C719" s="70"/>
      <c r="D719" s="70"/>
      <c r="E719" s="70"/>
      <c r="X719" s="85"/>
    </row>
    <row r="720">
      <c r="B720" s="70"/>
      <c r="C720" s="70"/>
      <c r="D720" s="70"/>
      <c r="E720" s="70"/>
      <c r="X720" s="85"/>
    </row>
    <row r="721">
      <c r="B721" s="70"/>
      <c r="C721" s="70"/>
      <c r="D721" s="70"/>
      <c r="E721" s="70"/>
      <c r="X721" s="85"/>
    </row>
    <row r="722">
      <c r="B722" s="70"/>
      <c r="C722" s="70"/>
      <c r="D722" s="70"/>
      <c r="E722" s="70"/>
      <c r="X722" s="85"/>
    </row>
    <row r="723">
      <c r="B723" s="70"/>
      <c r="C723" s="70"/>
      <c r="D723" s="70"/>
      <c r="E723" s="70"/>
      <c r="X723" s="85"/>
    </row>
    <row r="724">
      <c r="B724" s="70"/>
      <c r="C724" s="70"/>
      <c r="D724" s="70"/>
      <c r="E724" s="70"/>
      <c r="X724" s="85"/>
    </row>
    <row r="725">
      <c r="B725" s="70"/>
      <c r="C725" s="70"/>
      <c r="D725" s="70"/>
      <c r="E725" s="70"/>
      <c r="X725" s="85"/>
    </row>
    <row r="726">
      <c r="B726" s="70"/>
      <c r="C726" s="70"/>
      <c r="D726" s="70"/>
      <c r="E726" s="70"/>
      <c r="X726" s="85"/>
    </row>
    <row r="727">
      <c r="B727" s="70"/>
      <c r="C727" s="70"/>
      <c r="D727" s="70"/>
      <c r="E727" s="70"/>
      <c r="X727" s="85"/>
    </row>
    <row r="728">
      <c r="B728" s="70"/>
      <c r="C728" s="70"/>
      <c r="D728" s="70"/>
      <c r="E728" s="70"/>
      <c r="X728" s="85"/>
    </row>
    <row r="729">
      <c r="B729" s="70"/>
      <c r="C729" s="70"/>
      <c r="D729" s="70"/>
      <c r="E729" s="70"/>
      <c r="X729" s="85"/>
    </row>
    <row r="730">
      <c r="B730" s="70"/>
      <c r="C730" s="70"/>
      <c r="D730" s="70"/>
      <c r="E730" s="70"/>
      <c r="X730" s="85"/>
    </row>
    <row r="731">
      <c r="B731" s="70"/>
      <c r="C731" s="70"/>
      <c r="D731" s="70"/>
      <c r="E731" s="70"/>
      <c r="X731" s="85"/>
    </row>
    <row r="732">
      <c r="B732" s="70"/>
      <c r="C732" s="70"/>
      <c r="D732" s="70"/>
      <c r="E732" s="70"/>
      <c r="X732" s="85"/>
    </row>
    <row r="733">
      <c r="B733" s="70"/>
      <c r="C733" s="70"/>
      <c r="D733" s="70"/>
      <c r="E733" s="70"/>
      <c r="X733" s="85"/>
    </row>
    <row r="734">
      <c r="B734" s="70"/>
      <c r="C734" s="70"/>
      <c r="D734" s="70"/>
      <c r="E734" s="70"/>
      <c r="X734" s="85"/>
    </row>
    <row r="735">
      <c r="B735" s="70"/>
      <c r="C735" s="70"/>
      <c r="D735" s="70"/>
      <c r="E735" s="70"/>
      <c r="X735" s="85"/>
    </row>
    <row r="736">
      <c r="B736" s="70"/>
      <c r="C736" s="70"/>
      <c r="D736" s="70"/>
      <c r="E736" s="70"/>
      <c r="X736" s="85"/>
    </row>
    <row r="737">
      <c r="B737" s="70"/>
      <c r="C737" s="70"/>
      <c r="D737" s="70"/>
      <c r="E737" s="70"/>
      <c r="X737" s="85"/>
    </row>
    <row r="738">
      <c r="B738" s="70"/>
      <c r="C738" s="70"/>
      <c r="D738" s="70"/>
      <c r="E738" s="70"/>
      <c r="X738" s="85"/>
    </row>
    <row r="739">
      <c r="B739" s="70"/>
      <c r="C739" s="70"/>
      <c r="D739" s="70"/>
      <c r="E739" s="70"/>
      <c r="X739" s="85"/>
    </row>
    <row r="740">
      <c r="B740" s="70"/>
      <c r="C740" s="70"/>
      <c r="D740" s="70"/>
      <c r="E740" s="70"/>
      <c r="X740" s="85"/>
    </row>
    <row r="741">
      <c r="B741" s="70"/>
      <c r="C741" s="70"/>
      <c r="D741" s="70"/>
      <c r="E741" s="70"/>
      <c r="X741" s="85"/>
    </row>
    <row r="742">
      <c r="B742" s="70"/>
      <c r="C742" s="70"/>
      <c r="D742" s="70"/>
      <c r="E742" s="70"/>
      <c r="X742" s="85"/>
    </row>
    <row r="743">
      <c r="B743" s="70"/>
      <c r="C743" s="70"/>
      <c r="D743" s="70"/>
      <c r="E743" s="70"/>
      <c r="X743" s="85"/>
    </row>
    <row r="744">
      <c r="B744" s="70"/>
      <c r="C744" s="70"/>
      <c r="D744" s="70"/>
      <c r="E744" s="70"/>
      <c r="X744" s="85"/>
    </row>
    <row r="745">
      <c r="B745" s="70"/>
      <c r="C745" s="70"/>
      <c r="D745" s="70"/>
      <c r="E745" s="70"/>
      <c r="X745" s="85"/>
    </row>
    <row r="746">
      <c r="B746" s="70"/>
      <c r="C746" s="70"/>
      <c r="D746" s="70"/>
      <c r="E746" s="70"/>
      <c r="X746" s="85"/>
    </row>
    <row r="747">
      <c r="B747" s="70"/>
      <c r="C747" s="70"/>
      <c r="D747" s="70"/>
      <c r="E747" s="70"/>
      <c r="X747" s="85"/>
    </row>
    <row r="748">
      <c r="B748" s="70"/>
      <c r="C748" s="70"/>
      <c r="D748" s="70"/>
      <c r="E748" s="70"/>
      <c r="X748" s="85"/>
    </row>
    <row r="749">
      <c r="B749" s="70"/>
      <c r="C749" s="70"/>
      <c r="D749" s="70"/>
      <c r="E749" s="70"/>
      <c r="X749" s="85"/>
    </row>
    <row r="750">
      <c r="B750" s="70"/>
      <c r="C750" s="70"/>
      <c r="D750" s="70"/>
      <c r="E750" s="70"/>
      <c r="X750" s="85"/>
    </row>
    <row r="751">
      <c r="B751" s="70"/>
      <c r="C751" s="70"/>
      <c r="D751" s="70"/>
      <c r="E751" s="70"/>
      <c r="X751" s="85"/>
    </row>
    <row r="752">
      <c r="B752" s="70"/>
      <c r="C752" s="70"/>
      <c r="D752" s="70"/>
      <c r="E752" s="70"/>
      <c r="X752" s="85"/>
    </row>
    <row r="753">
      <c r="B753" s="70"/>
      <c r="C753" s="70"/>
      <c r="D753" s="70"/>
      <c r="E753" s="70"/>
      <c r="X753" s="85"/>
    </row>
    <row r="754">
      <c r="B754" s="70"/>
      <c r="C754" s="70"/>
      <c r="D754" s="70"/>
      <c r="E754" s="70"/>
      <c r="X754" s="85"/>
    </row>
    <row r="755">
      <c r="B755" s="70"/>
      <c r="C755" s="70"/>
      <c r="D755" s="70"/>
      <c r="E755" s="70"/>
      <c r="X755" s="85"/>
    </row>
    <row r="756">
      <c r="B756" s="70"/>
      <c r="C756" s="70"/>
      <c r="D756" s="70"/>
      <c r="E756" s="70"/>
      <c r="X756" s="85"/>
    </row>
    <row r="757">
      <c r="B757" s="70"/>
      <c r="C757" s="70"/>
      <c r="D757" s="70"/>
      <c r="E757" s="70"/>
      <c r="X757" s="85"/>
    </row>
    <row r="758">
      <c r="B758" s="70"/>
      <c r="C758" s="70"/>
      <c r="D758" s="70"/>
      <c r="E758" s="70"/>
      <c r="X758" s="85"/>
    </row>
    <row r="759">
      <c r="B759" s="70"/>
      <c r="C759" s="70"/>
      <c r="D759" s="70"/>
      <c r="E759" s="70"/>
      <c r="X759" s="85"/>
    </row>
    <row r="760">
      <c r="B760" s="70"/>
      <c r="C760" s="70"/>
      <c r="D760" s="70"/>
      <c r="E760" s="70"/>
      <c r="X760" s="85"/>
    </row>
    <row r="761">
      <c r="B761" s="70"/>
      <c r="C761" s="70"/>
      <c r="D761" s="70"/>
      <c r="E761" s="70"/>
      <c r="X761" s="85"/>
    </row>
    <row r="762">
      <c r="B762" s="70"/>
      <c r="C762" s="70"/>
      <c r="D762" s="70"/>
      <c r="E762" s="70"/>
      <c r="X762" s="85"/>
    </row>
    <row r="763">
      <c r="B763" s="70"/>
      <c r="C763" s="70"/>
      <c r="D763" s="70"/>
      <c r="E763" s="70"/>
      <c r="X763" s="85"/>
    </row>
    <row r="764">
      <c r="B764" s="70"/>
      <c r="C764" s="70"/>
      <c r="D764" s="70"/>
      <c r="E764" s="70"/>
      <c r="X764" s="85"/>
    </row>
    <row r="765">
      <c r="B765" s="70"/>
      <c r="C765" s="70"/>
      <c r="D765" s="70"/>
      <c r="E765" s="70"/>
      <c r="X765" s="85"/>
    </row>
    <row r="766">
      <c r="B766" s="70"/>
      <c r="C766" s="70"/>
      <c r="D766" s="70"/>
      <c r="E766" s="70"/>
      <c r="X766" s="85"/>
    </row>
    <row r="767">
      <c r="B767" s="70"/>
      <c r="C767" s="70"/>
      <c r="D767" s="70"/>
      <c r="E767" s="70"/>
      <c r="X767" s="85"/>
    </row>
    <row r="768">
      <c r="B768" s="70"/>
      <c r="C768" s="70"/>
      <c r="D768" s="70"/>
      <c r="E768" s="70"/>
      <c r="X768" s="85"/>
    </row>
    <row r="769">
      <c r="B769" s="70"/>
      <c r="C769" s="70"/>
      <c r="D769" s="70"/>
      <c r="E769" s="70"/>
      <c r="X769" s="85"/>
    </row>
    <row r="770">
      <c r="B770" s="70"/>
      <c r="C770" s="70"/>
      <c r="D770" s="70"/>
      <c r="E770" s="70"/>
      <c r="X770" s="85"/>
    </row>
    <row r="771">
      <c r="B771" s="70"/>
      <c r="C771" s="70"/>
      <c r="D771" s="70"/>
      <c r="E771" s="70"/>
      <c r="X771" s="85"/>
    </row>
    <row r="772">
      <c r="B772" s="70"/>
      <c r="C772" s="70"/>
      <c r="D772" s="70"/>
      <c r="E772" s="70"/>
      <c r="X772" s="85"/>
    </row>
    <row r="773">
      <c r="B773" s="70"/>
      <c r="C773" s="70"/>
      <c r="D773" s="70"/>
      <c r="E773" s="70"/>
      <c r="X773" s="85"/>
    </row>
    <row r="774">
      <c r="B774" s="70"/>
      <c r="C774" s="70"/>
      <c r="D774" s="70"/>
      <c r="E774" s="70"/>
      <c r="X774" s="85"/>
    </row>
    <row r="775">
      <c r="B775" s="70"/>
      <c r="C775" s="70"/>
      <c r="D775" s="70"/>
      <c r="E775" s="70"/>
      <c r="X775" s="85"/>
    </row>
    <row r="776">
      <c r="B776" s="70"/>
      <c r="C776" s="70"/>
      <c r="D776" s="70"/>
      <c r="E776" s="70"/>
      <c r="X776" s="85"/>
    </row>
    <row r="777">
      <c r="B777" s="70"/>
      <c r="C777" s="70"/>
      <c r="D777" s="70"/>
      <c r="E777" s="70"/>
      <c r="X777" s="85"/>
    </row>
    <row r="778">
      <c r="B778" s="70"/>
      <c r="C778" s="70"/>
      <c r="D778" s="70"/>
      <c r="E778" s="70"/>
      <c r="X778" s="85"/>
    </row>
    <row r="779">
      <c r="B779" s="70"/>
      <c r="C779" s="70"/>
      <c r="D779" s="70"/>
      <c r="E779" s="70"/>
      <c r="X779" s="85"/>
    </row>
    <row r="780">
      <c r="B780" s="70"/>
      <c r="C780" s="70"/>
      <c r="D780" s="70"/>
      <c r="E780" s="70"/>
      <c r="X780" s="85"/>
    </row>
    <row r="781">
      <c r="B781" s="70"/>
      <c r="C781" s="70"/>
      <c r="D781" s="70"/>
      <c r="E781" s="70"/>
      <c r="X781" s="85"/>
    </row>
    <row r="782">
      <c r="B782" s="70"/>
      <c r="C782" s="70"/>
      <c r="D782" s="70"/>
      <c r="E782" s="70"/>
      <c r="X782" s="85"/>
    </row>
    <row r="783">
      <c r="B783" s="70"/>
      <c r="C783" s="70"/>
      <c r="D783" s="70"/>
      <c r="E783" s="70"/>
      <c r="X783" s="85"/>
    </row>
    <row r="784">
      <c r="B784" s="70"/>
      <c r="C784" s="70"/>
      <c r="D784" s="70"/>
      <c r="E784" s="70"/>
      <c r="X784" s="85"/>
    </row>
    <row r="785">
      <c r="B785" s="70"/>
      <c r="C785" s="70"/>
      <c r="D785" s="70"/>
      <c r="E785" s="70"/>
      <c r="X785" s="85"/>
    </row>
    <row r="786">
      <c r="B786" s="70"/>
      <c r="C786" s="70"/>
      <c r="D786" s="70"/>
      <c r="E786" s="70"/>
      <c r="X786" s="85"/>
    </row>
    <row r="787">
      <c r="B787" s="70"/>
      <c r="C787" s="70"/>
      <c r="D787" s="70"/>
      <c r="E787" s="70"/>
      <c r="X787" s="85"/>
    </row>
    <row r="788">
      <c r="B788" s="70"/>
      <c r="C788" s="70"/>
      <c r="D788" s="70"/>
      <c r="E788" s="70"/>
      <c r="X788" s="85"/>
    </row>
    <row r="789">
      <c r="B789" s="70"/>
      <c r="C789" s="70"/>
      <c r="D789" s="70"/>
      <c r="E789" s="70"/>
      <c r="X789" s="85"/>
    </row>
    <row r="790">
      <c r="B790" s="70"/>
      <c r="C790" s="70"/>
      <c r="D790" s="70"/>
      <c r="E790" s="70"/>
      <c r="X790" s="85"/>
    </row>
    <row r="791">
      <c r="B791" s="70"/>
      <c r="C791" s="70"/>
      <c r="D791" s="70"/>
      <c r="E791" s="70"/>
      <c r="X791" s="85"/>
    </row>
    <row r="792">
      <c r="B792" s="70"/>
      <c r="C792" s="70"/>
      <c r="D792" s="70"/>
      <c r="E792" s="70"/>
      <c r="X792" s="85"/>
    </row>
    <row r="793">
      <c r="B793" s="70"/>
      <c r="C793" s="70"/>
      <c r="D793" s="70"/>
      <c r="E793" s="70"/>
      <c r="X793" s="85"/>
    </row>
    <row r="794">
      <c r="B794" s="70"/>
      <c r="C794" s="70"/>
      <c r="D794" s="70"/>
      <c r="E794" s="70"/>
      <c r="X794" s="85"/>
    </row>
    <row r="795">
      <c r="B795" s="70"/>
      <c r="C795" s="70"/>
      <c r="D795" s="70"/>
      <c r="E795" s="70"/>
      <c r="X795" s="85"/>
    </row>
    <row r="796">
      <c r="B796" s="70"/>
      <c r="C796" s="70"/>
      <c r="D796" s="70"/>
      <c r="E796" s="70"/>
      <c r="X796" s="85"/>
    </row>
    <row r="797">
      <c r="B797" s="70"/>
      <c r="C797" s="70"/>
      <c r="D797" s="70"/>
      <c r="E797" s="70"/>
      <c r="X797" s="85"/>
    </row>
    <row r="798">
      <c r="B798" s="70"/>
      <c r="C798" s="70"/>
      <c r="D798" s="70"/>
      <c r="E798" s="70"/>
      <c r="X798" s="85"/>
    </row>
    <row r="799">
      <c r="B799" s="70"/>
      <c r="C799" s="70"/>
      <c r="D799" s="70"/>
      <c r="E799" s="70"/>
      <c r="X799" s="85"/>
    </row>
    <row r="800">
      <c r="B800" s="70"/>
      <c r="C800" s="70"/>
      <c r="D800" s="70"/>
      <c r="E800" s="70"/>
      <c r="X800" s="85"/>
    </row>
    <row r="801">
      <c r="B801" s="70"/>
      <c r="C801" s="70"/>
      <c r="D801" s="70"/>
      <c r="E801" s="70"/>
      <c r="X801" s="85"/>
    </row>
    <row r="802">
      <c r="B802" s="70"/>
      <c r="C802" s="70"/>
      <c r="D802" s="70"/>
      <c r="E802" s="70"/>
      <c r="X802" s="85"/>
    </row>
    <row r="803">
      <c r="B803" s="70"/>
      <c r="C803" s="70"/>
      <c r="D803" s="70"/>
      <c r="E803" s="70"/>
      <c r="X803" s="85"/>
    </row>
    <row r="804">
      <c r="B804" s="70"/>
      <c r="C804" s="70"/>
      <c r="D804" s="70"/>
      <c r="E804" s="70"/>
      <c r="X804" s="85"/>
    </row>
    <row r="805">
      <c r="B805" s="70"/>
      <c r="C805" s="70"/>
      <c r="D805" s="70"/>
      <c r="E805" s="70"/>
      <c r="X805" s="85"/>
    </row>
    <row r="806">
      <c r="B806" s="70"/>
      <c r="C806" s="70"/>
      <c r="D806" s="70"/>
      <c r="E806" s="70"/>
      <c r="X806" s="85"/>
    </row>
    <row r="807">
      <c r="B807" s="70"/>
      <c r="C807" s="70"/>
      <c r="D807" s="70"/>
      <c r="E807" s="70"/>
      <c r="X807" s="85"/>
    </row>
    <row r="808">
      <c r="B808" s="70"/>
      <c r="C808" s="70"/>
      <c r="D808" s="70"/>
      <c r="E808" s="70"/>
      <c r="X808" s="85"/>
    </row>
    <row r="809">
      <c r="B809" s="70"/>
      <c r="C809" s="70"/>
      <c r="D809" s="70"/>
      <c r="E809" s="70"/>
      <c r="X809" s="85"/>
    </row>
    <row r="810">
      <c r="B810" s="70"/>
      <c r="C810" s="70"/>
      <c r="D810" s="70"/>
      <c r="E810" s="70"/>
      <c r="X810" s="85"/>
    </row>
    <row r="811">
      <c r="B811" s="70"/>
      <c r="C811" s="70"/>
      <c r="D811" s="70"/>
      <c r="E811" s="70"/>
      <c r="X811" s="85"/>
    </row>
    <row r="812">
      <c r="B812" s="70"/>
      <c r="C812" s="70"/>
      <c r="D812" s="70"/>
      <c r="E812" s="70"/>
      <c r="X812" s="85"/>
    </row>
    <row r="813">
      <c r="B813" s="70"/>
      <c r="C813" s="70"/>
      <c r="D813" s="70"/>
      <c r="E813" s="70"/>
      <c r="X813" s="85"/>
    </row>
    <row r="814">
      <c r="B814" s="70"/>
      <c r="C814" s="70"/>
      <c r="D814" s="70"/>
      <c r="E814" s="70"/>
      <c r="X814" s="85"/>
    </row>
    <row r="815">
      <c r="B815" s="70"/>
      <c r="C815" s="70"/>
      <c r="D815" s="70"/>
      <c r="E815" s="70"/>
      <c r="X815" s="85"/>
    </row>
    <row r="816">
      <c r="B816" s="70"/>
      <c r="C816" s="70"/>
      <c r="D816" s="70"/>
      <c r="E816" s="70"/>
      <c r="X816" s="85"/>
    </row>
    <row r="817">
      <c r="B817" s="70"/>
      <c r="C817" s="70"/>
      <c r="D817" s="70"/>
      <c r="E817" s="70"/>
      <c r="X817" s="85"/>
    </row>
    <row r="818">
      <c r="B818" s="70"/>
      <c r="C818" s="70"/>
      <c r="D818" s="70"/>
      <c r="E818" s="70"/>
      <c r="X818" s="85"/>
    </row>
    <row r="819">
      <c r="B819" s="70"/>
      <c r="C819" s="70"/>
      <c r="D819" s="70"/>
      <c r="E819" s="70"/>
      <c r="X819" s="85"/>
    </row>
    <row r="820">
      <c r="B820" s="70"/>
      <c r="C820" s="70"/>
      <c r="D820" s="70"/>
      <c r="E820" s="70"/>
      <c r="X820" s="85"/>
    </row>
    <row r="821">
      <c r="B821" s="70"/>
      <c r="C821" s="70"/>
      <c r="D821" s="70"/>
      <c r="E821" s="70"/>
      <c r="X821" s="85"/>
    </row>
    <row r="822">
      <c r="B822" s="70"/>
      <c r="C822" s="70"/>
      <c r="D822" s="70"/>
      <c r="E822" s="70"/>
      <c r="X822" s="85"/>
    </row>
    <row r="823">
      <c r="B823" s="70"/>
      <c r="C823" s="70"/>
      <c r="D823" s="70"/>
      <c r="E823" s="70"/>
      <c r="X823" s="85"/>
    </row>
    <row r="824">
      <c r="B824" s="70"/>
      <c r="C824" s="70"/>
      <c r="D824" s="70"/>
      <c r="E824" s="70"/>
      <c r="X824" s="85"/>
    </row>
    <row r="825">
      <c r="B825" s="70"/>
      <c r="C825" s="70"/>
      <c r="D825" s="70"/>
      <c r="E825" s="70"/>
      <c r="X825" s="85"/>
    </row>
    <row r="826">
      <c r="B826" s="70"/>
      <c r="C826" s="70"/>
      <c r="D826" s="70"/>
      <c r="E826" s="70"/>
      <c r="X826" s="85"/>
    </row>
    <row r="827">
      <c r="B827" s="70"/>
      <c r="C827" s="70"/>
      <c r="D827" s="70"/>
      <c r="E827" s="70"/>
      <c r="X827" s="85"/>
    </row>
    <row r="828">
      <c r="B828" s="70"/>
      <c r="C828" s="70"/>
      <c r="D828" s="70"/>
      <c r="E828" s="70"/>
      <c r="X828" s="85"/>
    </row>
    <row r="829">
      <c r="B829" s="70"/>
      <c r="C829" s="70"/>
      <c r="D829" s="70"/>
      <c r="E829" s="70"/>
      <c r="X829" s="85"/>
    </row>
    <row r="830">
      <c r="B830" s="70"/>
      <c r="C830" s="70"/>
      <c r="D830" s="70"/>
      <c r="E830" s="70"/>
      <c r="X830" s="85"/>
    </row>
    <row r="831">
      <c r="B831" s="70"/>
      <c r="C831" s="70"/>
      <c r="D831" s="70"/>
      <c r="E831" s="70"/>
      <c r="X831" s="85"/>
    </row>
    <row r="832">
      <c r="B832" s="70"/>
      <c r="C832" s="70"/>
      <c r="D832" s="70"/>
      <c r="E832" s="70"/>
      <c r="X832" s="85"/>
    </row>
    <row r="833">
      <c r="B833" s="70"/>
      <c r="C833" s="70"/>
      <c r="D833" s="70"/>
      <c r="E833" s="70"/>
      <c r="X833" s="85"/>
    </row>
    <row r="834">
      <c r="B834" s="70"/>
      <c r="C834" s="70"/>
      <c r="D834" s="70"/>
      <c r="E834" s="70"/>
      <c r="X834" s="85"/>
    </row>
    <row r="835">
      <c r="B835" s="70"/>
      <c r="C835" s="70"/>
      <c r="D835" s="70"/>
      <c r="E835" s="70"/>
      <c r="X835" s="85"/>
    </row>
    <row r="836">
      <c r="B836" s="70"/>
      <c r="C836" s="70"/>
      <c r="D836" s="70"/>
      <c r="E836" s="70"/>
      <c r="X836" s="85"/>
    </row>
    <row r="837">
      <c r="B837" s="70"/>
      <c r="C837" s="70"/>
      <c r="D837" s="70"/>
      <c r="E837" s="70"/>
      <c r="X837" s="85"/>
    </row>
    <row r="838">
      <c r="B838" s="70"/>
      <c r="C838" s="70"/>
      <c r="D838" s="70"/>
      <c r="E838" s="70"/>
      <c r="X838" s="85"/>
    </row>
    <row r="839">
      <c r="B839" s="70"/>
      <c r="C839" s="70"/>
      <c r="D839" s="70"/>
      <c r="E839" s="70"/>
      <c r="X839" s="85"/>
    </row>
    <row r="840">
      <c r="B840" s="70"/>
      <c r="C840" s="70"/>
      <c r="D840" s="70"/>
      <c r="E840" s="70"/>
      <c r="X840" s="85"/>
    </row>
    <row r="841">
      <c r="B841" s="70"/>
      <c r="C841" s="70"/>
      <c r="D841" s="70"/>
      <c r="E841" s="70"/>
      <c r="X841" s="85"/>
    </row>
    <row r="842">
      <c r="B842" s="70"/>
      <c r="C842" s="70"/>
      <c r="D842" s="70"/>
      <c r="E842" s="70"/>
      <c r="X842" s="85"/>
    </row>
    <row r="843">
      <c r="B843" s="70"/>
      <c r="C843" s="70"/>
      <c r="D843" s="70"/>
      <c r="E843" s="70"/>
      <c r="X843" s="85"/>
    </row>
    <row r="844">
      <c r="B844" s="70"/>
      <c r="C844" s="70"/>
      <c r="D844" s="70"/>
      <c r="E844" s="70"/>
      <c r="X844" s="85"/>
    </row>
    <row r="845">
      <c r="B845" s="70"/>
      <c r="C845" s="70"/>
      <c r="D845" s="70"/>
      <c r="E845" s="70"/>
      <c r="X845" s="85"/>
    </row>
    <row r="846">
      <c r="B846" s="70"/>
      <c r="C846" s="70"/>
      <c r="D846" s="70"/>
      <c r="E846" s="70"/>
      <c r="X846" s="85"/>
    </row>
    <row r="847">
      <c r="B847" s="70"/>
      <c r="C847" s="70"/>
      <c r="D847" s="70"/>
      <c r="E847" s="70"/>
      <c r="X847" s="85"/>
    </row>
    <row r="848">
      <c r="B848" s="70"/>
      <c r="C848" s="70"/>
      <c r="D848" s="70"/>
      <c r="E848" s="70"/>
      <c r="X848" s="85"/>
    </row>
    <row r="849">
      <c r="B849" s="70"/>
      <c r="C849" s="70"/>
      <c r="D849" s="70"/>
      <c r="E849" s="70"/>
      <c r="X849" s="85"/>
    </row>
    <row r="850">
      <c r="B850" s="70"/>
      <c r="C850" s="70"/>
      <c r="D850" s="70"/>
      <c r="E850" s="70"/>
      <c r="X850" s="85"/>
    </row>
    <row r="851">
      <c r="B851" s="70"/>
      <c r="C851" s="70"/>
      <c r="D851" s="70"/>
      <c r="E851" s="70"/>
      <c r="X851" s="85"/>
    </row>
    <row r="852">
      <c r="B852" s="70"/>
      <c r="C852" s="70"/>
      <c r="D852" s="70"/>
      <c r="E852" s="70"/>
      <c r="X852" s="85"/>
    </row>
    <row r="853">
      <c r="B853" s="70"/>
      <c r="C853" s="70"/>
      <c r="D853" s="70"/>
      <c r="E853" s="70"/>
      <c r="X853" s="85"/>
    </row>
    <row r="854">
      <c r="B854" s="70"/>
      <c r="C854" s="70"/>
      <c r="D854" s="70"/>
      <c r="E854" s="70"/>
      <c r="X854" s="85"/>
    </row>
    <row r="855">
      <c r="B855" s="70"/>
      <c r="C855" s="70"/>
      <c r="D855" s="70"/>
      <c r="E855" s="70"/>
      <c r="X855" s="85"/>
    </row>
    <row r="856">
      <c r="B856" s="70"/>
      <c r="C856" s="70"/>
      <c r="D856" s="70"/>
      <c r="E856" s="70"/>
      <c r="X856" s="85"/>
    </row>
    <row r="857">
      <c r="B857" s="70"/>
      <c r="C857" s="70"/>
      <c r="D857" s="70"/>
      <c r="E857" s="70"/>
      <c r="X857" s="85"/>
    </row>
    <row r="858">
      <c r="B858" s="70"/>
      <c r="C858" s="70"/>
      <c r="D858" s="70"/>
      <c r="E858" s="70"/>
      <c r="X858" s="85"/>
    </row>
    <row r="859">
      <c r="B859" s="70"/>
      <c r="C859" s="70"/>
      <c r="D859" s="70"/>
      <c r="E859" s="70"/>
      <c r="X859" s="85"/>
    </row>
    <row r="860">
      <c r="B860" s="70"/>
      <c r="C860" s="70"/>
      <c r="D860" s="70"/>
      <c r="E860" s="70"/>
      <c r="X860" s="85"/>
    </row>
    <row r="861">
      <c r="B861" s="70"/>
      <c r="C861" s="70"/>
      <c r="D861" s="70"/>
      <c r="E861" s="70"/>
      <c r="X861" s="85"/>
    </row>
    <row r="862">
      <c r="B862" s="70"/>
      <c r="C862" s="70"/>
      <c r="D862" s="70"/>
      <c r="E862" s="70"/>
      <c r="X862" s="85"/>
    </row>
    <row r="863">
      <c r="B863" s="70"/>
      <c r="C863" s="70"/>
      <c r="D863" s="70"/>
      <c r="E863" s="70"/>
      <c r="X863" s="85"/>
    </row>
    <row r="864">
      <c r="B864" s="70"/>
      <c r="C864" s="70"/>
      <c r="D864" s="70"/>
      <c r="E864" s="70"/>
      <c r="X864" s="85"/>
    </row>
    <row r="865">
      <c r="B865" s="70"/>
      <c r="C865" s="70"/>
      <c r="D865" s="70"/>
      <c r="E865" s="70"/>
      <c r="X865" s="85"/>
    </row>
    <row r="866">
      <c r="B866" s="70"/>
      <c r="C866" s="70"/>
      <c r="D866" s="70"/>
      <c r="E866" s="70"/>
      <c r="X866" s="85"/>
    </row>
    <row r="867">
      <c r="B867" s="70"/>
      <c r="C867" s="70"/>
      <c r="D867" s="70"/>
      <c r="E867" s="70"/>
      <c r="X867" s="85"/>
    </row>
    <row r="868">
      <c r="B868" s="70"/>
      <c r="C868" s="70"/>
      <c r="D868" s="70"/>
      <c r="E868" s="70"/>
      <c r="X868" s="85"/>
    </row>
    <row r="869">
      <c r="B869" s="70"/>
      <c r="C869" s="70"/>
      <c r="D869" s="70"/>
      <c r="E869" s="70"/>
      <c r="X869" s="85"/>
    </row>
    <row r="870">
      <c r="B870" s="70"/>
      <c r="C870" s="70"/>
      <c r="D870" s="70"/>
      <c r="E870" s="70"/>
      <c r="X870" s="85"/>
    </row>
    <row r="871">
      <c r="B871" s="70"/>
      <c r="C871" s="70"/>
      <c r="D871" s="70"/>
      <c r="E871" s="70"/>
      <c r="X871" s="85"/>
    </row>
    <row r="872">
      <c r="B872" s="70"/>
      <c r="C872" s="70"/>
      <c r="D872" s="70"/>
      <c r="E872" s="70"/>
      <c r="X872" s="85"/>
    </row>
    <row r="873">
      <c r="B873" s="70"/>
      <c r="C873" s="70"/>
      <c r="D873" s="70"/>
      <c r="E873" s="70"/>
      <c r="X873" s="85"/>
    </row>
    <row r="874">
      <c r="B874" s="70"/>
      <c r="C874" s="70"/>
      <c r="D874" s="70"/>
      <c r="E874" s="70"/>
      <c r="X874" s="85"/>
    </row>
    <row r="875">
      <c r="B875" s="70"/>
      <c r="C875" s="70"/>
      <c r="D875" s="70"/>
      <c r="E875" s="70"/>
      <c r="X875" s="85"/>
    </row>
    <row r="876">
      <c r="B876" s="70"/>
      <c r="C876" s="70"/>
      <c r="D876" s="70"/>
      <c r="E876" s="70"/>
      <c r="X876" s="85"/>
    </row>
    <row r="877">
      <c r="B877" s="70"/>
      <c r="C877" s="70"/>
      <c r="D877" s="70"/>
      <c r="E877" s="70"/>
      <c r="X877" s="85"/>
    </row>
    <row r="878">
      <c r="B878" s="70"/>
      <c r="C878" s="70"/>
      <c r="D878" s="70"/>
      <c r="E878" s="70"/>
      <c r="X878" s="85"/>
    </row>
    <row r="879">
      <c r="B879" s="70"/>
      <c r="C879" s="70"/>
      <c r="D879" s="70"/>
      <c r="E879" s="70"/>
      <c r="X879" s="85"/>
    </row>
    <row r="880">
      <c r="B880" s="70"/>
      <c r="C880" s="70"/>
      <c r="D880" s="70"/>
      <c r="E880" s="70"/>
      <c r="X880" s="85"/>
    </row>
    <row r="881">
      <c r="B881" s="70"/>
      <c r="C881" s="70"/>
      <c r="D881" s="70"/>
      <c r="E881" s="70"/>
      <c r="X881" s="85"/>
    </row>
    <row r="882">
      <c r="B882" s="70"/>
      <c r="C882" s="70"/>
      <c r="D882" s="70"/>
      <c r="E882" s="70"/>
      <c r="X882" s="85"/>
    </row>
    <row r="883">
      <c r="B883" s="70"/>
      <c r="C883" s="70"/>
      <c r="D883" s="70"/>
      <c r="E883" s="70"/>
      <c r="X883" s="85"/>
    </row>
    <row r="884">
      <c r="B884" s="70"/>
      <c r="C884" s="70"/>
      <c r="D884" s="70"/>
      <c r="E884" s="70"/>
      <c r="X884" s="85"/>
    </row>
    <row r="885">
      <c r="B885" s="70"/>
      <c r="C885" s="70"/>
      <c r="D885" s="70"/>
      <c r="E885" s="70"/>
      <c r="X885" s="85"/>
    </row>
    <row r="886">
      <c r="B886" s="70"/>
      <c r="C886" s="70"/>
      <c r="D886" s="70"/>
      <c r="E886" s="70"/>
      <c r="X886" s="85"/>
    </row>
    <row r="887">
      <c r="B887" s="70"/>
      <c r="C887" s="70"/>
      <c r="D887" s="70"/>
      <c r="E887" s="70"/>
      <c r="X887" s="85"/>
    </row>
    <row r="888">
      <c r="B888" s="70"/>
      <c r="C888" s="70"/>
      <c r="D888" s="70"/>
      <c r="E888" s="70"/>
      <c r="X888" s="85"/>
    </row>
    <row r="889">
      <c r="B889" s="70"/>
      <c r="C889" s="70"/>
      <c r="D889" s="70"/>
      <c r="E889" s="70"/>
      <c r="X889" s="85"/>
    </row>
    <row r="890">
      <c r="B890" s="70"/>
      <c r="C890" s="70"/>
      <c r="D890" s="70"/>
      <c r="E890" s="70"/>
      <c r="X890" s="85"/>
    </row>
    <row r="891">
      <c r="B891" s="70"/>
      <c r="C891" s="70"/>
      <c r="D891" s="70"/>
      <c r="E891" s="70"/>
      <c r="X891" s="85"/>
    </row>
    <row r="892">
      <c r="B892" s="70"/>
      <c r="C892" s="70"/>
      <c r="D892" s="70"/>
      <c r="E892" s="70"/>
      <c r="X892" s="85"/>
    </row>
    <row r="893">
      <c r="B893" s="70"/>
      <c r="C893" s="70"/>
      <c r="D893" s="70"/>
      <c r="E893" s="70"/>
      <c r="X893" s="85"/>
    </row>
    <row r="894">
      <c r="B894" s="70"/>
      <c r="C894" s="70"/>
      <c r="D894" s="70"/>
      <c r="E894" s="70"/>
      <c r="X894" s="85"/>
    </row>
    <row r="895">
      <c r="B895" s="70"/>
      <c r="C895" s="70"/>
      <c r="D895" s="70"/>
      <c r="E895" s="70"/>
      <c r="X895" s="85"/>
    </row>
    <row r="896">
      <c r="B896" s="70"/>
      <c r="C896" s="70"/>
      <c r="D896" s="70"/>
      <c r="E896" s="70"/>
      <c r="X896" s="85"/>
    </row>
    <row r="897">
      <c r="B897" s="70"/>
      <c r="C897" s="70"/>
      <c r="D897" s="70"/>
      <c r="E897" s="70"/>
      <c r="X897" s="85"/>
    </row>
    <row r="898">
      <c r="B898" s="70"/>
      <c r="C898" s="70"/>
      <c r="D898" s="70"/>
      <c r="E898" s="70"/>
      <c r="X898" s="85"/>
    </row>
    <row r="899">
      <c r="B899" s="70"/>
      <c r="C899" s="70"/>
      <c r="D899" s="70"/>
      <c r="E899" s="70"/>
      <c r="X899" s="85"/>
    </row>
    <row r="900">
      <c r="B900" s="70"/>
      <c r="C900" s="70"/>
      <c r="D900" s="70"/>
      <c r="E900" s="70"/>
      <c r="X900" s="85"/>
    </row>
    <row r="901">
      <c r="B901" s="70"/>
      <c r="C901" s="70"/>
      <c r="D901" s="70"/>
      <c r="E901" s="70"/>
      <c r="X901" s="85"/>
    </row>
    <row r="902">
      <c r="B902" s="70"/>
      <c r="C902" s="70"/>
      <c r="D902" s="70"/>
      <c r="E902" s="70"/>
      <c r="X902" s="85"/>
    </row>
    <row r="903">
      <c r="B903" s="70"/>
      <c r="C903" s="70"/>
      <c r="D903" s="70"/>
      <c r="E903" s="70"/>
      <c r="X903" s="85"/>
    </row>
    <row r="904">
      <c r="B904" s="70"/>
      <c r="C904" s="70"/>
      <c r="D904" s="70"/>
      <c r="E904" s="70"/>
      <c r="X904" s="85"/>
    </row>
    <row r="905">
      <c r="B905" s="70"/>
      <c r="C905" s="70"/>
      <c r="D905" s="70"/>
      <c r="E905" s="70"/>
      <c r="X905" s="85"/>
    </row>
    <row r="906">
      <c r="B906" s="70"/>
      <c r="C906" s="70"/>
      <c r="D906" s="70"/>
      <c r="E906" s="70"/>
      <c r="X906" s="85"/>
    </row>
    <row r="907">
      <c r="B907" s="70"/>
      <c r="C907" s="70"/>
      <c r="D907" s="70"/>
      <c r="E907" s="70"/>
      <c r="X907" s="85"/>
    </row>
    <row r="908">
      <c r="B908" s="70"/>
      <c r="C908" s="70"/>
      <c r="D908" s="70"/>
      <c r="E908" s="70"/>
      <c r="X908" s="85"/>
    </row>
    <row r="909">
      <c r="B909" s="70"/>
      <c r="C909" s="70"/>
      <c r="D909" s="70"/>
      <c r="E909" s="70"/>
      <c r="X909" s="85"/>
    </row>
    <row r="910">
      <c r="B910" s="70"/>
      <c r="C910" s="70"/>
      <c r="D910" s="70"/>
      <c r="E910" s="70"/>
      <c r="X910" s="85"/>
    </row>
    <row r="911">
      <c r="B911" s="70"/>
      <c r="C911" s="70"/>
      <c r="D911" s="70"/>
      <c r="E911" s="70"/>
      <c r="X911" s="85"/>
    </row>
    <row r="912">
      <c r="B912" s="70"/>
      <c r="C912" s="70"/>
      <c r="D912" s="70"/>
      <c r="E912" s="70"/>
      <c r="X912" s="85"/>
    </row>
    <row r="913">
      <c r="B913" s="70"/>
      <c r="C913" s="70"/>
      <c r="D913" s="70"/>
      <c r="E913" s="70"/>
      <c r="X913" s="85"/>
    </row>
    <row r="914">
      <c r="B914" s="70"/>
      <c r="C914" s="70"/>
      <c r="D914" s="70"/>
      <c r="E914" s="70"/>
      <c r="X914" s="85"/>
    </row>
    <row r="915">
      <c r="B915" s="70"/>
      <c r="C915" s="70"/>
      <c r="D915" s="70"/>
      <c r="E915" s="70"/>
      <c r="X915" s="85"/>
    </row>
    <row r="916">
      <c r="B916" s="70"/>
      <c r="C916" s="70"/>
      <c r="D916" s="70"/>
      <c r="E916" s="70"/>
      <c r="X916" s="85"/>
    </row>
    <row r="917">
      <c r="B917" s="70"/>
      <c r="C917" s="70"/>
      <c r="D917" s="70"/>
      <c r="E917" s="70"/>
      <c r="X917" s="85"/>
    </row>
    <row r="918">
      <c r="B918" s="70"/>
      <c r="C918" s="70"/>
      <c r="D918" s="70"/>
      <c r="E918" s="70"/>
      <c r="X918" s="85"/>
    </row>
    <row r="919">
      <c r="B919" s="70"/>
      <c r="C919" s="70"/>
      <c r="D919" s="70"/>
      <c r="E919" s="70"/>
      <c r="X919" s="85"/>
    </row>
    <row r="920">
      <c r="B920" s="70"/>
      <c r="C920" s="70"/>
      <c r="D920" s="70"/>
      <c r="E920" s="70"/>
      <c r="X920" s="85"/>
    </row>
    <row r="921">
      <c r="B921" s="70"/>
      <c r="C921" s="70"/>
      <c r="D921" s="70"/>
      <c r="E921" s="70"/>
      <c r="X921" s="85"/>
    </row>
    <row r="922">
      <c r="B922" s="70"/>
      <c r="C922" s="70"/>
      <c r="D922" s="70"/>
      <c r="E922" s="70"/>
      <c r="X922" s="85"/>
    </row>
    <row r="923">
      <c r="B923" s="70"/>
      <c r="C923" s="70"/>
      <c r="D923" s="70"/>
      <c r="E923" s="70"/>
      <c r="X923" s="85"/>
    </row>
    <row r="924">
      <c r="B924" s="70"/>
      <c r="C924" s="70"/>
      <c r="D924" s="70"/>
      <c r="E924" s="70"/>
      <c r="X924" s="85"/>
    </row>
    <row r="925">
      <c r="B925" s="70"/>
      <c r="C925" s="70"/>
      <c r="D925" s="70"/>
      <c r="E925" s="70"/>
      <c r="X925" s="85"/>
    </row>
    <row r="926">
      <c r="B926" s="70"/>
      <c r="C926" s="70"/>
      <c r="D926" s="70"/>
      <c r="E926" s="70"/>
      <c r="X926" s="85"/>
    </row>
    <row r="927">
      <c r="B927" s="70"/>
      <c r="C927" s="70"/>
      <c r="D927" s="70"/>
      <c r="E927" s="70"/>
      <c r="X927" s="85"/>
    </row>
    <row r="928">
      <c r="B928" s="70"/>
      <c r="C928" s="70"/>
      <c r="D928" s="70"/>
      <c r="E928" s="70"/>
      <c r="X928" s="85"/>
    </row>
    <row r="929">
      <c r="B929" s="70"/>
      <c r="C929" s="70"/>
      <c r="D929" s="70"/>
      <c r="E929" s="70"/>
      <c r="X929" s="85"/>
    </row>
    <row r="930">
      <c r="B930" s="70"/>
      <c r="C930" s="70"/>
      <c r="D930" s="70"/>
      <c r="E930" s="70"/>
      <c r="X930" s="85"/>
    </row>
    <row r="931">
      <c r="B931" s="70"/>
      <c r="C931" s="70"/>
      <c r="D931" s="70"/>
      <c r="E931" s="70"/>
      <c r="X931" s="85"/>
    </row>
    <row r="932">
      <c r="B932" s="70"/>
      <c r="C932" s="70"/>
      <c r="D932" s="70"/>
      <c r="E932" s="70"/>
      <c r="X932" s="85"/>
    </row>
    <row r="933">
      <c r="B933" s="70"/>
      <c r="C933" s="70"/>
      <c r="D933" s="70"/>
      <c r="E933" s="70"/>
      <c r="X933" s="85"/>
    </row>
    <row r="934">
      <c r="B934" s="70"/>
      <c r="C934" s="70"/>
      <c r="D934" s="70"/>
      <c r="E934" s="70"/>
      <c r="X934" s="85"/>
    </row>
    <row r="935">
      <c r="B935" s="70"/>
      <c r="C935" s="70"/>
      <c r="D935" s="70"/>
      <c r="E935" s="70"/>
      <c r="X935" s="85"/>
    </row>
    <row r="936">
      <c r="B936" s="70"/>
      <c r="C936" s="70"/>
      <c r="D936" s="70"/>
      <c r="E936" s="70"/>
      <c r="X936" s="85"/>
    </row>
    <row r="937">
      <c r="B937" s="70"/>
      <c r="C937" s="70"/>
      <c r="D937" s="70"/>
      <c r="E937" s="70"/>
      <c r="X937" s="85"/>
    </row>
    <row r="938">
      <c r="B938" s="70"/>
      <c r="C938" s="70"/>
      <c r="D938" s="70"/>
      <c r="E938" s="70"/>
      <c r="X938" s="85"/>
    </row>
    <row r="939">
      <c r="B939" s="70"/>
      <c r="C939" s="70"/>
      <c r="D939" s="70"/>
      <c r="E939" s="70"/>
      <c r="X939" s="85"/>
    </row>
    <row r="940">
      <c r="B940" s="70"/>
      <c r="C940" s="70"/>
      <c r="D940" s="70"/>
      <c r="E940" s="70"/>
      <c r="X940" s="85"/>
    </row>
    <row r="941">
      <c r="B941" s="70"/>
      <c r="C941" s="70"/>
      <c r="D941" s="70"/>
      <c r="E941" s="70"/>
      <c r="X941" s="85"/>
    </row>
    <row r="942">
      <c r="B942" s="70"/>
      <c r="C942" s="70"/>
      <c r="D942" s="70"/>
      <c r="E942" s="70"/>
      <c r="X942" s="85"/>
    </row>
    <row r="943">
      <c r="B943" s="70"/>
      <c r="C943" s="70"/>
      <c r="D943" s="70"/>
      <c r="E943" s="70"/>
      <c r="X943" s="85"/>
    </row>
    <row r="944">
      <c r="B944" s="70"/>
      <c r="C944" s="70"/>
      <c r="D944" s="70"/>
      <c r="E944" s="70"/>
      <c r="X944" s="85"/>
    </row>
    <row r="945">
      <c r="B945" s="70"/>
      <c r="C945" s="70"/>
      <c r="D945" s="70"/>
      <c r="E945" s="70"/>
      <c r="X945" s="85"/>
    </row>
    <row r="946">
      <c r="B946" s="70"/>
      <c r="C946" s="70"/>
      <c r="D946" s="70"/>
      <c r="E946" s="70"/>
      <c r="X946" s="85"/>
    </row>
    <row r="947">
      <c r="B947" s="70"/>
      <c r="C947" s="70"/>
      <c r="D947" s="70"/>
      <c r="E947" s="70"/>
      <c r="X947" s="85"/>
    </row>
    <row r="948">
      <c r="B948" s="70"/>
      <c r="C948" s="70"/>
      <c r="D948" s="70"/>
      <c r="E948" s="70"/>
      <c r="X948" s="85"/>
    </row>
    <row r="949">
      <c r="B949" s="70"/>
      <c r="C949" s="70"/>
      <c r="D949" s="70"/>
      <c r="E949" s="70"/>
      <c r="X949" s="85"/>
    </row>
    <row r="950">
      <c r="B950" s="70"/>
      <c r="C950" s="70"/>
      <c r="D950" s="70"/>
      <c r="E950" s="70"/>
      <c r="X950" s="85"/>
    </row>
    <row r="951">
      <c r="B951" s="70"/>
      <c r="C951" s="70"/>
      <c r="D951" s="70"/>
      <c r="E951" s="70"/>
      <c r="X951" s="85"/>
    </row>
    <row r="952">
      <c r="B952" s="70"/>
      <c r="C952" s="70"/>
      <c r="D952" s="70"/>
      <c r="E952" s="70"/>
      <c r="X952" s="85"/>
    </row>
    <row r="953">
      <c r="B953" s="70"/>
      <c r="C953" s="70"/>
      <c r="D953" s="70"/>
      <c r="E953" s="70"/>
      <c r="X953" s="85"/>
    </row>
    <row r="954">
      <c r="B954" s="70"/>
      <c r="C954" s="70"/>
      <c r="D954" s="70"/>
      <c r="E954" s="70"/>
      <c r="X954" s="85"/>
    </row>
    <row r="955">
      <c r="B955" s="70"/>
      <c r="C955" s="70"/>
      <c r="D955" s="70"/>
      <c r="E955" s="70"/>
      <c r="X955" s="85"/>
    </row>
    <row r="956">
      <c r="B956" s="70"/>
      <c r="C956" s="70"/>
      <c r="D956" s="70"/>
      <c r="E956" s="70"/>
      <c r="X956" s="85"/>
    </row>
    <row r="957">
      <c r="B957" s="70"/>
      <c r="C957" s="70"/>
      <c r="D957" s="70"/>
      <c r="E957" s="70"/>
      <c r="X957" s="85"/>
    </row>
    <row r="958">
      <c r="B958" s="70"/>
      <c r="C958" s="70"/>
      <c r="D958" s="70"/>
      <c r="E958" s="70"/>
      <c r="X958" s="85"/>
    </row>
    <row r="959">
      <c r="B959" s="70"/>
      <c r="C959" s="70"/>
      <c r="D959" s="70"/>
      <c r="E959" s="70"/>
      <c r="X959" s="85"/>
    </row>
    <row r="960">
      <c r="B960" s="70"/>
      <c r="C960" s="70"/>
      <c r="D960" s="70"/>
      <c r="E960" s="70"/>
      <c r="X960" s="85"/>
    </row>
    <row r="961">
      <c r="B961" s="70"/>
      <c r="C961" s="70"/>
      <c r="D961" s="70"/>
      <c r="E961" s="70"/>
      <c r="X961" s="85"/>
    </row>
    <row r="962">
      <c r="B962" s="70"/>
      <c r="C962" s="70"/>
      <c r="D962" s="70"/>
      <c r="E962" s="70"/>
      <c r="X962" s="85"/>
    </row>
    <row r="963">
      <c r="B963" s="70"/>
      <c r="C963" s="70"/>
      <c r="D963" s="70"/>
      <c r="E963" s="70"/>
      <c r="X963" s="85"/>
    </row>
    <row r="964">
      <c r="B964" s="70"/>
      <c r="C964" s="70"/>
      <c r="D964" s="70"/>
      <c r="E964" s="70"/>
      <c r="X964" s="85"/>
    </row>
    <row r="965">
      <c r="B965" s="70"/>
      <c r="C965" s="70"/>
      <c r="D965" s="70"/>
      <c r="E965" s="70"/>
      <c r="X965" s="85"/>
    </row>
    <row r="966">
      <c r="B966" s="70"/>
      <c r="C966" s="70"/>
      <c r="D966" s="70"/>
      <c r="E966" s="70"/>
      <c r="X966" s="85"/>
    </row>
    <row r="967">
      <c r="B967" s="70"/>
      <c r="C967" s="70"/>
      <c r="D967" s="70"/>
      <c r="E967" s="70"/>
      <c r="X967" s="85"/>
    </row>
    <row r="968">
      <c r="B968" s="70"/>
      <c r="C968" s="70"/>
      <c r="D968" s="70"/>
      <c r="E968" s="70"/>
      <c r="X968" s="85"/>
    </row>
    <row r="969">
      <c r="B969" s="70"/>
      <c r="C969" s="70"/>
      <c r="D969" s="70"/>
      <c r="E969" s="70"/>
      <c r="X969" s="85"/>
    </row>
    <row r="970">
      <c r="B970" s="70"/>
      <c r="C970" s="70"/>
      <c r="D970" s="70"/>
      <c r="E970" s="70"/>
      <c r="X970" s="85"/>
    </row>
    <row r="971">
      <c r="B971" s="70"/>
      <c r="C971" s="70"/>
      <c r="D971" s="70"/>
      <c r="E971" s="70"/>
      <c r="X971" s="85"/>
    </row>
    <row r="972">
      <c r="B972" s="70"/>
      <c r="C972" s="70"/>
      <c r="D972" s="70"/>
      <c r="E972" s="70"/>
      <c r="X972" s="85"/>
    </row>
    <row r="973">
      <c r="B973" s="70"/>
      <c r="C973" s="70"/>
      <c r="D973" s="70"/>
      <c r="E973" s="70"/>
      <c r="X973" s="85"/>
    </row>
    <row r="974">
      <c r="B974" s="70"/>
      <c r="C974" s="70"/>
      <c r="D974" s="70"/>
      <c r="E974" s="70"/>
      <c r="X974" s="85"/>
    </row>
    <row r="975">
      <c r="B975" s="70"/>
      <c r="C975" s="70"/>
      <c r="D975" s="70"/>
      <c r="E975" s="70"/>
      <c r="X975" s="85"/>
    </row>
    <row r="976">
      <c r="B976" s="70"/>
      <c r="C976" s="70"/>
      <c r="D976" s="70"/>
      <c r="E976" s="70"/>
      <c r="X976" s="85"/>
    </row>
    <row r="977">
      <c r="B977" s="70"/>
      <c r="C977" s="70"/>
      <c r="D977" s="70"/>
      <c r="E977" s="70"/>
      <c r="X977" s="85"/>
    </row>
    <row r="978">
      <c r="B978" s="70"/>
      <c r="C978" s="70"/>
      <c r="D978" s="70"/>
      <c r="E978" s="70"/>
      <c r="X978" s="85"/>
    </row>
    <row r="979">
      <c r="B979" s="70"/>
      <c r="C979" s="70"/>
      <c r="D979" s="70"/>
      <c r="E979" s="70"/>
      <c r="X979" s="85"/>
    </row>
    <row r="980">
      <c r="B980" s="70"/>
      <c r="C980" s="70"/>
      <c r="D980" s="70"/>
      <c r="E980" s="70"/>
      <c r="X980" s="85"/>
    </row>
    <row r="981">
      <c r="B981" s="70"/>
      <c r="C981" s="70"/>
      <c r="D981" s="70"/>
      <c r="E981" s="70"/>
      <c r="X981" s="85"/>
    </row>
    <row r="982">
      <c r="B982" s="70"/>
      <c r="C982" s="70"/>
      <c r="D982" s="70"/>
      <c r="E982" s="70"/>
      <c r="X982" s="85"/>
    </row>
    <row r="983">
      <c r="B983" s="70"/>
      <c r="C983" s="70"/>
      <c r="D983" s="70"/>
      <c r="E983" s="70"/>
      <c r="X983" s="85"/>
    </row>
    <row r="984">
      <c r="B984" s="70"/>
      <c r="C984" s="70"/>
      <c r="D984" s="70"/>
      <c r="E984" s="70"/>
      <c r="X984" s="85"/>
    </row>
    <row r="985">
      <c r="B985" s="70"/>
      <c r="C985" s="70"/>
      <c r="D985" s="70"/>
      <c r="E985" s="70"/>
      <c r="X985" s="85"/>
    </row>
    <row r="986">
      <c r="B986" s="70"/>
      <c r="C986" s="70"/>
      <c r="D986" s="70"/>
      <c r="E986" s="70"/>
      <c r="X986" s="85"/>
    </row>
    <row r="987">
      <c r="B987" s="70"/>
      <c r="C987" s="70"/>
      <c r="D987" s="70"/>
      <c r="E987" s="70"/>
      <c r="X987" s="85"/>
    </row>
    <row r="988">
      <c r="B988" s="70"/>
      <c r="C988" s="70"/>
      <c r="D988" s="70"/>
      <c r="E988" s="70"/>
      <c r="X988" s="85"/>
    </row>
    <row r="989">
      <c r="B989" s="70"/>
      <c r="C989" s="70"/>
      <c r="D989" s="70"/>
      <c r="E989" s="70"/>
      <c r="X989" s="85"/>
    </row>
    <row r="990">
      <c r="B990" s="70"/>
      <c r="C990" s="70"/>
      <c r="D990" s="70"/>
      <c r="E990" s="70"/>
      <c r="X990" s="85"/>
    </row>
    <row r="991">
      <c r="B991" s="70"/>
      <c r="C991" s="70"/>
      <c r="D991" s="70"/>
      <c r="E991" s="70"/>
      <c r="X991" s="85"/>
    </row>
    <row r="992">
      <c r="B992" s="70"/>
      <c r="C992" s="70"/>
      <c r="D992" s="70"/>
      <c r="E992" s="70"/>
      <c r="X992" s="85"/>
    </row>
    <row r="993">
      <c r="B993" s="70"/>
      <c r="C993" s="70"/>
      <c r="D993" s="70"/>
      <c r="E993" s="70"/>
      <c r="X993" s="85"/>
    </row>
    <row r="994">
      <c r="B994" s="70"/>
      <c r="C994" s="70"/>
      <c r="D994" s="70"/>
      <c r="E994" s="70"/>
      <c r="X994" s="85"/>
    </row>
    <row r="995">
      <c r="B995" s="70"/>
      <c r="C995" s="70"/>
      <c r="D995" s="70"/>
      <c r="E995" s="70"/>
      <c r="X995" s="85"/>
    </row>
    <row r="996">
      <c r="B996" s="70"/>
      <c r="C996" s="70"/>
      <c r="D996" s="70"/>
      <c r="E996" s="70"/>
      <c r="X996" s="85"/>
    </row>
    <row r="997">
      <c r="B997" s="70"/>
      <c r="C997" s="70"/>
      <c r="D997" s="70"/>
      <c r="E997" s="70"/>
      <c r="X997" s="85"/>
    </row>
    <row r="998">
      <c r="B998" s="70"/>
      <c r="C998" s="70"/>
      <c r="D998" s="70"/>
      <c r="E998" s="70"/>
      <c r="X998" s="85"/>
    </row>
    <row r="999">
      <c r="B999" s="70"/>
      <c r="C999" s="70"/>
      <c r="D999" s="70"/>
      <c r="E999" s="70"/>
      <c r="X999" s="85"/>
    </row>
    <row r="1000">
      <c r="B1000" s="70"/>
      <c r="C1000" s="70"/>
      <c r="D1000" s="70"/>
      <c r="E1000" s="70"/>
      <c r="X1000" s="85"/>
    </row>
    <row r="1001">
      <c r="B1001" s="70"/>
      <c r="C1001" s="70"/>
      <c r="D1001" s="70"/>
      <c r="E1001" s="70"/>
      <c r="X1001" s="85"/>
    </row>
    <row r="1002">
      <c r="B1002" s="70"/>
      <c r="C1002" s="70"/>
      <c r="D1002" s="70"/>
      <c r="E1002" s="70"/>
      <c r="X1002" s="85"/>
    </row>
    <row r="1003">
      <c r="B1003" s="70"/>
      <c r="C1003" s="70"/>
      <c r="D1003" s="70"/>
      <c r="E1003" s="70"/>
      <c r="X1003" s="85"/>
    </row>
    <row r="1004">
      <c r="B1004" s="70"/>
      <c r="C1004" s="70"/>
      <c r="D1004" s="70"/>
      <c r="E1004" s="70"/>
      <c r="X1004" s="85"/>
    </row>
    <row r="1005">
      <c r="B1005" s="70"/>
      <c r="C1005" s="70"/>
      <c r="D1005" s="70"/>
      <c r="E1005" s="70"/>
      <c r="X1005" s="85"/>
    </row>
  </sheetData>
  <mergeCells count="5">
    <mergeCell ref="A8:B8"/>
    <mergeCell ref="D8:I8"/>
    <mergeCell ref="K8:M8"/>
    <mergeCell ref="N8:Q8"/>
    <mergeCell ref="T8:W8"/>
  </mergeCells>
  <dataValidations>
    <dataValidation type="list" allowBlank="1" sqref="G10:G21">
      <formula1>$G$1:$G$3</formula1>
    </dataValidation>
    <dataValidation type="list" allowBlank="1" sqref="F10:F21">
      <formula1>$F$1:$F$6</formula1>
    </dataValidation>
    <dataValidation type="list" allowBlank="1" sqref="H10:H21">
      <formula1>$H$1:$H$2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1.22" defaultRowHeight="15.0"/>
  <cols>
    <col customWidth="1" min="1" max="1" width="20.0"/>
    <col customWidth="1" min="2" max="2" width="21.78"/>
    <col customWidth="1" min="3" max="3" width="18.44"/>
    <col customWidth="1" min="4" max="4" width="15.44"/>
    <col customWidth="1" min="5" max="5" width="36.11"/>
    <col customWidth="1" min="6" max="7" width="18.44"/>
    <col customWidth="1" min="8" max="8" width="15.67"/>
    <col customWidth="1" min="9" max="9" width="43.22"/>
    <col customWidth="1" min="10" max="10" width="28.56"/>
    <col customWidth="1" min="11" max="11" width="41.78"/>
    <col customWidth="1" min="12" max="29" width="6.89"/>
  </cols>
  <sheetData>
    <row r="1" ht="14.25" customHeight="1">
      <c r="A1" s="99"/>
      <c r="B1" s="100">
        <v>20.0</v>
      </c>
      <c r="C1" s="100">
        <v>30.0</v>
      </c>
      <c r="D1" s="100">
        <v>15.0</v>
      </c>
      <c r="E1" s="100">
        <v>25.0</v>
      </c>
      <c r="F1" s="100"/>
      <c r="G1" s="100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14.25" customHeight="1">
      <c r="A2" s="99"/>
      <c r="B2" s="102"/>
      <c r="F2" s="102"/>
      <c r="G2" s="102"/>
      <c r="H2" s="103" t="s">
        <v>215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4.25" customHeight="1">
      <c r="A3" s="99"/>
      <c r="F3" s="102"/>
      <c r="G3" s="102"/>
      <c r="H3" s="104" t="s">
        <v>547</v>
      </c>
      <c r="I3" s="104" t="s">
        <v>548</v>
      </c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ht="14.25" customHeight="1">
      <c r="A4" s="99"/>
      <c r="F4" s="102"/>
      <c r="G4" s="102"/>
      <c r="H4" s="104" t="s">
        <v>549</v>
      </c>
      <c r="I4" s="104" t="s">
        <v>550</v>
      </c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4.25" customHeight="1">
      <c r="A5" s="99"/>
      <c r="B5" s="105" t="s">
        <v>551</v>
      </c>
      <c r="F5" s="105"/>
      <c r="G5" s="105"/>
      <c r="H5" s="106" t="s">
        <v>552</v>
      </c>
      <c r="I5" s="104" t="s">
        <v>553</v>
      </c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14.25" customHeight="1">
      <c r="A6" s="99"/>
      <c r="F6" s="105"/>
      <c r="G6" s="105"/>
      <c r="H6" s="104" t="s">
        <v>554</v>
      </c>
      <c r="I6" s="104" t="s">
        <v>555</v>
      </c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4.25" customHeight="1">
      <c r="A7" s="99"/>
      <c r="B7" s="100"/>
      <c r="C7" s="100"/>
      <c r="D7" s="100"/>
      <c r="E7" s="100"/>
      <c r="F7" s="100"/>
      <c r="G7" s="100"/>
      <c r="H7" s="106" t="s">
        <v>556</v>
      </c>
      <c r="I7" s="104" t="s">
        <v>557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14.25" customHeight="1">
      <c r="A8" s="99"/>
      <c r="B8" s="107" t="s">
        <v>558</v>
      </c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4.25" customHeight="1">
      <c r="A9" s="99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4.25" customHeight="1">
      <c r="A10" s="99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4.25" customHeight="1">
      <c r="A11" s="108"/>
      <c r="B11" s="109" t="s">
        <v>559</v>
      </c>
      <c r="C11" s="109" t="s">
        <v>560</v>
      </c>
      <c r="D11" s="109" t="s">
        <v>561</v>
      </c>
      <c r="E11" s="109" t="s">
        <v>562</v>
      </c>
      <c r="F11" s="110" t="s">
        <v>563</v>
      </c>
      <c r="G11" s="111" t="s">
        <v>564</v>
      </c>
      <c r="H11" s="111" t="s">
        <v>565</v>
      </c>
      <c r="I11" s="111" t="s">
        <v>566</v>
      </c>
      <c r="J11" s="111" t="s">
        <v>567</v>
      </c>
      <c r="K11" s="111" t="s">
        <v>568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</row>
    <row r="12" ht="14.25" customHeight="1">
      <c r="A12" s="108"/>
      <c r="B12" s="112" t="s">
        <v>569</v>
      </c>
      <c r="C12" s="113" t="s">
        <v>570</v>
      </c>
      <c r="D12" s="114"/>
      <c r="E12" s="113" t="s">
        <v>571</v>
      </c>
      <c r="F12" s="113" t="s">
        <v>572</v>
      </c>
      <c r="G12" s="115"/>
      <c r="H12" s="101"/>
      <c r="I12" s="101"/>
      <c r="J12" s="101"/>
      <c r="K12" s="101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</row>
    <row r="13" ht="124.5" customHeight="1">
      <c r="A13" s="116"/>
      <c r="B13" s="117" t="s">
        <v>573</v>
      </c>
      <c r="C13" s="113" t="s">
        <v>574</v>
      </c>
      <c r="D13" s="114"/>
      <c r="E13" s="113" t="s">
        <v>575</v>
      </c>
      <c r="F13" s="113" t="s">
        <v>576</v>
      </c>
      <c r="G13" s="113" t="s">
        <v>577</v>
      </c>
      <c r="H13" s="103"/>
      <c r="I13" s="103"/>
      <c r="J13" s="103"/>
      <c r="K13" s="118" t="s">
        <v>578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24.5" customHeight="1">
      <c r="A14" s="116"/>
      <c r="B14" s="117" t="s">
        <v>579</v>
      </c>
      <c r="C14" s="119" t="s">
        <v>580</v>
      </c>
      <c r="D14" s="114"/>
      <c r="E14" s="120" t="s">
        <v>581</v>
      </c>
      <c r="F14" s="119" t="s">
        <v>582</v>
      </c>
      <c r="G14" s="113" t="s">
        <v>583</v>
      </c>
      <c r="H14" s="101"/>
      <c r="I14" s="103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24.5" customHeight="1">
      <c r="A15" s="116"/>
      <c r="B15" s="117" t="s">
        <v>584</v>
      </c>
      <c r="C15" s="113" t="s">
        <v>585</v>
      </c>
      <c r="D15" s="114"/>
      <c r="E15" s="113" t="s">
        <v>586</v>
      </c>
      <c r="F15" s="113" t="s">
        <v>572</v>
      </c>
      <c r="G15" s="113" t="s">
        <v>587</v>
      </c>
      <c r="H15" s="103"/>
      <c r="I15" s="103"/>
      <c r="J15" s="103"/>
      <c r="K15" s="109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24.5" customHeight="1">
      <c r="A16" s="116"/>
      <c r="B16" s="117" t="s">
        <v>588</v>
      </c>
      <c r="C16" s="113" t="s">
        <v>589</v>
      </c>
      <c r="D16" s="114"/>
      <c r="E16" s="113" t="s">
        <v>590</v>
      </c>
      <c r="F16" s="113" t="s">
        <v>572</v>
      </c>
      <c r="G16" s="113" t="s">
        <v>591</v>
      </c>
      <c r="H16" s="103"/>
      <c r="I16" s="103"/>
      <c r="J16" s="103"/>
      <c r="K16" s="109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124.5" customHeight="1">
      <c r="A17" s="121"/>
      <c r="B17" s="122" t="s">
        <v>592</v>
      </c>
      <c r="C17" s="113" t="s">
        <v>593</v>
      </c>
      <c r="D17" s="114"/>
      <c r="E17" s="120" t="s">
        <v>594</v>
      </c>
      <c r="F17" s="119" t="s">
        <v>595</v>
      </c>
      <c r="G17" s="113" t="s">
        <v>596</v>
      </c>
      <c r="H17" s="101"/>
      <c r="I17" s="103" t="s">
        <v>597</v>
      </c>
      <c r="J17" s="101"/>
      <c r="K17" s="103" t="s">
        <v>598</v>
      </c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24.5" customHeight="1">
      <c r="A18" s="121"/>
      <c r="B18" s="123" t="s">
        <v>599</v>
      </c>
      <c r="C18" s="113" t="s">
        <v>600</v>
      </c>
      <c r="D18" s="114"/>
      <c r="E18" s="113" t="s">
        <v>601</v>
      </c>
      <c r="F18" s="113" t="s">
        <v>602</v>
      </c>
      <c r="G18" s="113" t="s">
        <v>603</v>
      </c>
      <c r="H18" s="103"/>
      <c r="I18" s="103"/>
      <c r="J18" s="103"/>
      <c r="K18" s="10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24.5" customHeight="1">
      <c r="A19" s="121"/>
      <c r="B19" s="124" t="s">
        <v>599</v>
      </c>
      <c r="C19" s="113" t="s">
        <v>604</v>
      </c>
      <c r="D19" s="114"/>
      <c r="E19" s="125" t="s">
        <v>605</v>
      </c>
      <c r="F19" s="113" t="s">
        <v>572</v>
      </c>
      <c r="G19" s="113" t="s">
        <v>606</v>
      </c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24.5" customHeight="1">
      <c r="A20" s="121"/>
      <c r="B20" s="126" t="s">
        <v>607</v>
      </c>
      <c r="C20" s="113" t="s">
        <v>608</v>
      </c>
      <c r="D20" s="114"/>
      <c r="E20" s="127" t="s">
        <v>609</v>
      </c>
      <c r="F20" s="103" t="s">
        <v>572</v>
      </c>
      <c r="G20" s="103" t="s">
        <v>610</v>
      </c>
      <c r="H20" s="103"/>
      <c r="I20" s="27"/>
      <c r="J20" s="27"/>
      <c r="K20" s="103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24.5" customHeight="1">
      <c r="A21" s="121"/>
      <c r="B21" s="122" t="s">
        <v>611</v>
      </c>
      <c r="C21" s="113" t="s">
        <v>612</v>
      </c>
      <c r="D21" s="114"/>
      <c r="E21" s="113" t="s">
        <v>613</v>
      </c>
      <c r="F21" s="119" t="s">
        <v>595</v>
      </c>
      <c r="G21" s="113" t="s">
        <v>614</v>
      </c>
      <c r="H21" s="103"/>
      <c r="I21" s="103"/>
      <c r="J21" s="103"/>
      <c r="K21" s="128" t="s">
        <v>615</v>
      </c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24.5" customHeight="1">
      <c r="A22" s="121"/>
      <c r="B22" s="126" t="s">
        <v>616</v>
      </c>
      <c r="C22" s="113" t="s">
        <v>617</v>
      </c>
      <c r="D22" s="114"/>
      <c r="E22" s="113" t="s">
        <v>618</v>
      </c>
      <c r="F22" s="113" t="s">
        <v>582</v>
      </c>
      <c r="G22" s="113" t="s">
        <v>619</v>
      </c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124.5" customHeight="1">
      <c r="A23" s="121"/>
      <c r="B23" s="129" t="s">
        <v>579</v>
      </c>
      <c r="C23" s="113" t="s">
        <v>620</v>
      </c>
      <c r="D23" s="114"/>
      <c r="E23" s="125" t="s">
        <v>621</v>
      </c>
      <c r="F23" s="119" t="s">
        <v>582</v>
      </c>
      <c r="G23" s="113" t="s">
        <v>622</v>
      </c>
      <c r="H23" s="101"/>
      <c r="I23" s="103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24.5" customHeight="1">
      <c r="A24" s="121"/>
      <c r="B24" s="123" t="s">
        <v>623</v>
      </c>
      <c r="C24" s="113" t="s">
        <v>624</v>
      </c>
      <c r="D24" s="114"/>
      <c r="E24" s="113" t="s">
        <v>625</v>
      </c>
      <c r="F24" s="119" t="s">
        <v>572</v>
      </c>
      <c r="G24" s="113"/>
      <c r="H24" s="101"/>
      <c r="I24" s="103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24.5" customHeight="1">
      <c r="A25" s="121"/>
      <c r="B25" s="122" t="s">
        <v>626</v>
      </c>
      <c r="C25" s="113" t="s">
        <v>627</v>
      </c>
      <c r="D25" s="114"/>
      <c r="E25" s="113" t="s">
        <v>628</v>
      </c>
      <c r="F25" s="119"/>
      <c r="G25" s="113" t="s">
        <v>629</v>
      </c>
      <c r="H25" s="101"/>
      <c r="I25" s="103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24.5" customHeight="1">
      <c r="A26" s="121"/>
      <c r="B26" s="130" t="s">
        <v>630</v>
      </c>
      <c r="C26" s="125" t="s">
        <v>631</v>
      </c>
      <c r="D26" s="114" t="s">
        <v>632</v>
      </c>
      <c r="E26" s="113" t="s">
        <v>633</v>
      </c>
      <c r="F26" s="113" t="s">
        <v>602</v>
      </c>
      <c r="G26" s="113" t="s">
        <v>634</v>
      </c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24.5" customHeight="1">
      <c r="A27" s="121"/>
      <c r="B27" s="124" t="s">
        <v>599</v>
      </c>
      <c r="C27" s="131" t="s">
        <v>635</v>
      </c>
      <c r="D27" s="114"/>
      <c r="E27" s="125" t="s">
        <v>636</v>
      </c>
      <c r="F27" s="113" t="s">
        <v>572</v>
      </c>
      <c r="G27" s="113" t="s">
        <v>637</v>
      </c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24.5" customHeight="1">
      <c r="A28" s="121"/>
      <c r="B28" s="126" t="s">
        <v>638</v>
      </c>
      <c r="C28" s="113" t="s">
        <v>639</v>
      </c>
      <c r="D28" s="114"/>
      <c r="E28" s="120" t="s">
        <v>640</v>
      </c>
      <c r="F28" s="113" t="s">
        <v>595</v>
      </c>
      <c r="G28" s="113" t="s">
        <v>641</v>
      </c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24.5" customHeight="1">
      <c r="A29" s="121"/>
      <c r="B29" s="123" t="s">
        <v>642</v>
      </c>
      <c r="C29" s="113" t="s">
        <v>643</v>
      </c>
      <c r="D29" s="114"/>
      <c r="E29" s="113" t="s">
        <v>628</v>
      </c>
      <c r="F29" s="119" t="s">
        <v>572</v>
      </c>
      <c r="G29" s="113" t="s">
        <v>644</v>
      </c>
      <c r="H29" s="101"/>
      <c r="I29" s="103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24.5" customHeight="1">
      <c r="A30" s="121"/>
      <c r="B30" s="112" t="s">
        <v>645</v>
      </c>
      <c r="C30" s="113" t="s">
        <v>646</v>
      </c>
      <c r="D30" s="114"/>
      <c r="E30" s="113" t="s">
        <v>647</v>
      </c>
      <c r="F30" s="103" t="s">
        <v>648</v>
      </c>
      <c r="G30" s="103" t="s">
        <v>649</v>
      </c>
      <c r="H30" s="103"/>
      <c r="I30" s="27"/>
      <c r="J30" s="27"/>
      <c r="K30" s="103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24.5" customHeight="1">
      <c r="A31" s="121"/>
      <c r="B31" s="112" t="s">
        <v>650</v>
      </c>
      <c r="C31" s="113" t="s">
        <v>651</v>
      </c>
      <c r="D31" s="114" t="s">
        <v>652</v>
      </c>
      <c r="E31" s="125" t="s">
        <v>653</v>
      </c>
      <c r="F31" s="113" t="s">
        <v>572</v>
      </c>
      <c r="G31" s="113" t="s">
        <v>629</v>
      </c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24.5" customHeight="1">
      <c r="A32" s="121"/>
      <c r="B32" s="132" t="s">
        <v>599</v>
      </c>
      <c r="C32" s="113" t="s">
        <v>654</v>
      </c>
      <c r="D32" s="114"/>
      <c r="E32" s="125" t="s">
        <v>655</v>
      </c>
      <c r="F32" s="113" t="s">
        <v>602</v>
      </c>
      <c r="G32" s="113" t="s">
        <v>656</v>
      </c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24.5" customHeight="1">
      <c r="A33" s="121"/>
      <c r="B33" s="117" t="s">
        <v>657</v>
      </c>
      <c r="C33" s="113" t="s">
        <v>658</v>
      </c>
      <c r="D33" s="114"/>
      <c r="E33" s="113" t="s">
        <v>659</v>
      </c>
      <c r="F33" s="119" t="s">
        <v>660</v>
      </c>
      <c r="G33" s="113" t="s">
        <v>661</v>
      </c>
      <c r="H33" s="101"/>
      <c r="I33" s="103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24.5" customHeight="1">
      <c r="A34" s="121"/>
      <c r="B34" s="112" t="s">
        <v>592</v>
      </c>
      <c r="C34" s="113" t="s">
        <v>662</v>
      </c>
      <c r="D34" s="114"/>
      <c r="E34" s="125" t="s">
        <v>663</v>
      </c>
      <c r="F34" s="113" t="s">
        <v>595</v>
      </c>
      <c r="G34" s="113" t="s">
        <v>664</v>
      </c>
      <c r="H34" s="101"/>
      <c r="I34" s="103" t="s">
        <v>665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24.5" customHeight="1">
      <c r="A35" s="121"/>
      <c r="B35" s="133" t="s">
        <v>592</v>
      </c>
      <c r="C35" s="113" t="s">
        <v>666</v>
      </c>
      <c r="D35" s="114"/>
      <c r="E35" s="113" t="s">
        <v>667</v>
      </c>
      <c r="F35" s="119" t="s">
        <v>668</v>
      </c>
      <c r="G35" s="113" t="s">
        <v>669</v>
      </c>
      <c r="H35" s="101"/>
      <c r="I35" s="103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24.5" customHeight="1">
      <c r="A36" s="121"/>
      <c r="B36" s="132" t="s">
        <v>599</v>
      </c>
      <c r="C36" s="113" t="s">
        <v>670</v>
      </c>
      <c r="D36" s="114"/>
      <c r="E36" s="125" t="s">
        <v>671</v>
      </c>
      <c r="F36" s="113" t="s">
        <v>602</v>
      </c>
      <c r="G36" s="113" t="s">
        <v>672</v>
      </c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24.5" customHeight="1">
      <c r="A37" s="121"/>
      <c r="B37" s="112" t="s">
        <v>673</v>
      </c>
      <c r="C37" s="113" t="s">
        <v>674</v>
      </c>
      <c r="D37" s="114"/>
      <c r="E37" s="113" t="s">
        <v>675</v>
      </c>
      <c r="F37" s="113" t="s">
        <v>582</v>
      </c>
      <c r="G37" s="113" t="s">
        <v>676</v>
      </c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24.5" customHeight="1">
      <c r="A38" s="121"/>
      <c r="B38" s="112" t="s">
        <v>673</v>
      </c>
      <c r="C38" s="113" t="s">
        <v>677</v>
      </c>
      <c r="D38" s="114"/>
      <c r="E38" s="113" t="s">
        <v>678</v>
      </c>
      <c r="F38" s="113" t="s">
        <v>572</v>
      </c>
      <c r="G38" s="113" t="s">
        <v>679</v>
      </c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24.5" customHeight="1">
      <c r="A39" s="121"/>
      <c r="B39" s="112" t="s">
        <v>680</v>
      </c>
      <c r="C39" s="113" t="s">
        <v>681</v>
      </c>
      <c r="D39" s="114"/>
      <c r="E39" s="113" t="s">
        <v>682</v>
      </c>
      <c r="F39" s="113" t="s">
        <v>572</v>
      </c>
      <c r="G39" s="113" t="s">
        <v>683</v>
      </c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24.5" customHeight="1">
      <c r="A40" s="121"/>
      <c r="B40" s="112" t="s">
        <v>673</v>
      </c>
      <c r="C40" s="113" t="s">
        <v>684</v>
      </c>
      <c r="D40" s="114"/>
      <c r="E40" s="134" t="s">
        <v>685</v>
      </c>
      <c r="F40" s="119" t="s">
        <v>582</v>
      </c>
      <c r="G40" s="119" t="s">
        <v>686</v>
      </c>
      <c r="H40" s="103"/>
      <c r="I40" s="27"/>
      <c r="J40" s="27"/>
      <c r="K40" s="103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24.5" customHeight="1">
      <c r="A41" s="121"/>
      <c r="B41" s="117" t="s">
        <v>687</v>
      </c>
      <c r="C41" s="113" t="s">
        <v>688</v>
      </c>
      <c r="D41" s="114"/>
      <c r="E41" s="113" t="s">
        <v>689</v>
      </c>
      <c r="F41" s="113" t="s">
        <v>690</v>
      </c>
      <c r="G41" s="113" t="s">
        <v>691</v>
      </c>
      <c r="H41" s="103"/>
      <c r="I41" s="103"/>
      <c r="J41" s="103"/>
      <c r="K41" s="118" t="s">
        <v>692</v>
      </c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24.5" customHeight="1">
      <c r="A42" s="121"/>
      <c r="B42" s="117" t="s">
        <v>693</v>
      </c>
      <c r="C42" s="113" t="s">
        <v>694</v>
      </c>
      <c r="D42" s="114"/>
      <c r="E42" s="135" t="s">
        <v>695</v>
      </c>
      <c r="F42" s="113" t="s">
        <v>602</v>
      </c>
      <c r="G42" s="113" t="s">
        <v>696</v>
      </c>
      <c r="H42" s="103"/>
      <c r="I42" s="103"/>
      <c r="J42" s="103"/>
      <c r="K42" s="109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24.5" customHeight="1">
      <c r="A43" s="121"/>
      <c r="B43" s="132" t="s">
        <v>599</v>
      </c>
      <c r="C43" s="113" t="s">
        <v>697</v>
      </c>
      <c r="D43" s="114"/>
      <c r="E43" s="125" t="s">
        <v>698</v>
      </c>
      <c r="F43" s="113" t="s">
        <v>572</v>
      </c>
      <c r="G43" s="113" t="s">
        <v>699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24.5" customHeight="1">
      <c r="A44" s="121"/>
      <c r="B44" s="112" t="s">
        <v>700</v>
      </c>
      <c r="C44" s="113" t="s">
        <v>701</v>
      </c>
      <c r="D44" s="114"/>
      <c r="E44" s="113" t="s">
        <v>702</v>
      </c>
      <c r="F44" s="113" t="s">
        <v>572</v>
      </c>
      <c r="G44" s="113" t="s">
        <v>703</v>
      </c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24.5" customHeight="1">
      <c r="A45" s="121"/>
      <c r="B45" s="112" t="s">
        <v>704</v>
      </c>
      <c r="C45" s="119" t="s">
        <v>705</v>
      </c>
      <c r="D45" s="114"/>
      <c r="E45" s="127" t="s">
        <v>706</v>
      </c>
      <c r="F45" s="103" t="s">
        <v>707</v>
      </c>
      <c r="G45" s="103" t="s">
        <v>708</v>
      </c>
      <c r="H45" s="103"/>
      <c r="I45" s="27"/>
      <c r="J45" s="27"/>
      <c r="K45" s="103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78.5" customHeight="1">
      <c r="A46" s="121"/>
      <c r="B46" s="133" t="s">
        <v>700</v>
      </c>
      <c r="C46" s="113" t="s">
        <v>709</v>
      </c>
      <c r="D46" s="114"/>
      <c r="E46" s="125" t="s">
        <v>710</v>
      </c>
      <c r="F46" s="119" t="s">
        <v>582</v>
      </c>
      <c r="G46" s="113" t="s">
        <v>649</v>
      </c>
      <c r="H46" s="101"/>
      <c r="I46" s="103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78.5" customHeight="1">
      <c r="A47" s="121"/>
      <c r="B47" s="133" t="s">
        <v>711</v>
      </c>
      <c r="C47" s="113" t="s">
        <v>712</v>
      </c>
      <c r="D47" s="114"/>
      <c r="E47" s="113" t="s">
        <v>713</v>
      </c>
      <c r="F47" s="119" t="s">
        <v>582</v>
      </c>
      <c r="G47" s="113" t="s">
        <v>714</v>
      </c>
      <c r="H47" s="101"/>
      <c r="I47" s="103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78.5" customHeight="1">
      <c r="A48" s="121"/>
      <c r="B48" s="123" t="s">
        <v>588</v>
      </c>
      <c r="C48" s="113" t="s">
        <v>715</v>
      </c>
      <c r="D48" s="114"/>
      <c r="E48" s="113" t="s">
        <v>716</v>
      </c>
      <c r="F48" s="119" t="s">
        <v>572</v>
      </c>
      <c r="G48" s="113"/>
      <c r="H48" s="101"/>
      <c r="I48" s="103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59.0" customHeight="1">
      <c r="A49" s="121"/>
      <c r="B49" s="124" t="s">
        <v>599</v>
      </c>
      <c r="C49" s="113" t="s">
        <v>717</v>
      </c>
      <c r="D49" s="114"/>
      <c r="E49" s="125" t="s">
        <v>718</v>
      </c>
      <c r="F49" s="113" t="s">
        <v>572</v>
      </c>
      <c r="G49" s="113" t="s">
        <v>719</v>
      </c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24.5" customHeight="1">
      <c r="A50" s="121"/>
      <c r="B50" s="117" t="s">
        <v>720</v>
      </c>
      <c r="C50" s="113" t="s">
        <v>721</v>
      </c>
      <c r="D50" s="114"/>
      <c r="E50" s="113" t="s">
        <v>722</v>
      </c>
      <c r="F50" s="119" t="s">
        <v>582</v>
      </c>
      <c r="G50" s="113"/>
      <c r="H50" s="101"/>
      <c r="I50" s="103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24.5" customHeight="1">
      <c r="A51" s="121"/>
      <c r="B51" s="112" t="s">
        <v>673</v>
      </c>
      <c r="C51" s="113" t="s">
        <v>723</v>
      </c>
      <c r="D51" s="114"/>
      <c r="E51" s="113" t="s">
        <v>724</v>
      </c>
      <c r="F51" s="103" t="s">
        <v>582</v>
      </c>
      <c r="G51" s="103" t="s">
        <v>686</v>
      </c>
      <c r="H51" s="103"/>
      <c r="I51" s="27"/>
      <c r="J51" s="27"/>
      <c r="K51" s="103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24.5" customHeight="1">
      <c r="A52" s="121"/>
      <c r="B52" s="132" t="s">
        <v>599</v>
      </c>
      <c r="C52" s="113" t="s">
        <v>725</v>
      </c>
      <c r="D52" s="114"/>
      <c r="E52" s="125" t="s">
        <v>726</v>
      </c>
      <c r="F52" s="113" t="s">
        <v>572</v>
      </c>
      <c r="G52" s="115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24.5" customHeight="1">
      <c r="A53" s="121"/>
      <c r="B53" s="132" t="s">
        <v>599</v>
      </c>
      <c r="C53" s="113" t="s">
        <v>727</v>
      </c>
      <c r="D53" s="114"/>
      <c r="E53" s="125" t="s">
        <v>728</v>
      </c>
      <c r="F53" s="113" t="s">
        <v>572</v>
      </c>
      <c r="G53" s="113" t="s">
        <v>729</v>
      </c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24.5" customHeight="1">
      <c r="A54" s="121"/>
      <c r="B54" s="112" t="s">
        <v>673</v>
      </c>
      <c r="C54" s="113" t="s">
        <v>730</v>
      </c>
      <c r="D54" s="114"/>
      <c r="E54" s="134" t="s">
        <v>731</v>
      </c>
      <c r="F54" s="103" t="s">
        <v>648</v>
      </c>
      <c r="G54" s="103" t="s">
        <v>686</v>
      </c>
      <c r="H54" s="103"/>
      <c r="I54" s="28" t="s">
        <v>732</v>
      </c>
      <c r="J54" s="69" t="s">
        <v>733</v>
      </c>
      <c r="K54" s="103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24.5" customHeight="1">
      <c r="A55" s="121"/>
      <c r="B55" s="112" t="s">
        <v>734</v>
      </c>
      <c r="C55" s="113" t="s">
        <v>735</v>
      </c>
      <c r="D55" s="114"/>
      <c r="E55" s="113" t="s">
        <v>736</v>
      </c>
      <c r="F55" s="113" t="s">
        <v>582</v>
      </c>
      <c r="G55" s="115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24.5" customHeight="1">
      <c r="A56" s="121"/>
      <c r="B56" s="112" t="s">
        <v>737</v>
      </c>
      <c r="C56" s="113" t="s">
        <v>738</v>
      </c>
      <c r="D56" s="114"/>
      <c r="E56" s="113" t="s">
        <v>739</v>
      </c>
      <c r="F56" s="113" t="s">
        <v>572</v>
      </c>
      <c r="G56" s="113" t="s">
        <v>740</v>
      </c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24.5" customHeight="1">
      <c r="A57" s="121"/>
      <c r="B57" s="132" t="s">
        <v>599</v>
      </c>
      <c r="C57" s="113" t="s">
        <v>741</v>
      </c>
      <c r="D57" s="114"/>
      <c r="E57" s="125" t="s">
        <v>742</v>
      </c>
      <c r="F57" s="113" t="s">
        <v>602</v>
      </c>
      <c r="G57" s="113" t="s">
        <v>743</v>
      </c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24.5" customHeight="1">
      <c r="A58" s="121"/>
      <c r="B58" s="136" t="s">
        <v>744</v>
      </c>
      <c r="C58" s="113" t="s">
        <v>745</v>
      </c>
      <c r="D58" s="114"/>
      <c r="E58" s="113" t="s">
        <v>746</v>
      </c>
      <c r="F58" s="113" t="s">
        <v>572</v>
      </c>
      <c r="G58" s="113" t="s">
        <v>747</v>
      </c>
      <c r="H58" s="103"/>
      <c r="I58" s="103"/>
      <c r="J58" s="103"/>
      <c r="K58" s="109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24.5" customHeight="1">
      <c r="A59" s="121"/>
      <c r="B59" s="132" t="s">
        <v>599</v>
      </c>
      <c r="C59" s="113" t="s">
        <v>748</v>
      </c>
      <c r="D59" s="114"/>
      <c r="E59" s="125" t="s">
        <v>749</v>
      </c>
      <c r="F59" s="113" t="s">
        <v>572</v>
      </c>
      <c r="G59" s="113" t="s">
        <v>750</v>
      </c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24.5" customHeight="1">
      <c r="A60" s="121"/>
      <c r="B60" s="117" t="s">
        <v>751</v>
      </c>
      <c r="C60" s="113" t="s">
        <v>752</v>
      </c>
      <c r="D60" s="114"/>
      <c r="E60" s="113" t="s">
        <v>753</v>
      </c>
      <c r="F60" s="119" t="s">
        <v>572</v>
      </c>
      <c r="G60" s="113" t="s">
        <v>754</v>
      </c>
      <c r="H60" s="103"/>
      <c r="I60" s="103"/>
      <c r="J60" s="103"/>
      <c r="K60" s="109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24.5" customHeight="1">
      <c r="A61" s="121"/>
      <c r="B61" s="125" t="s">
        <v>755</v>
      </c>
      <c r="C61" s="125" t="s">
        <v>756</v>
      </c>
      <c r="D61" s="114" t="s">
        <v>757</v>
      </c>
      <c r="E61" s="137" t="s">
        <v>758</v>
      </c>
      <c r="F61" s="113" t="s">
        <v>572</v>
      </c>
      <c r="G61" s="113" t="s">
        <v>759</v>
      </c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24.5" customHeight="1">
      <c r="A62" s="121"/>
      <c r="B62" s="117" t="s">
        <v>760</v>
      </c>
      <c r="C62" s="113" t="s">
        <v>761</v>
      </c>
      <c r="D62" s="114"/>
      <c r="E62" s="113" t="s">
        <v>762</v>
      </c>
      <c r="F62" s="119" t="s">
        <v>572</v>
      </c>
      <c r="G62" s="113" t="s">
        <v>763</v>
      </c>
      <c r="H62" s="101"/>
      <c r="I62" s="103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24.5" customHeight="1">
      <c r="A63" s="121"/>
      <c r="B63" s="138" t="s">
        <v>599</v>
      </c>
      <c r="C63" s="113" t="s">
        <v>764</v>
      </c>
      <c r="D63" s="114"/>
      <c r="E63" s="113" t="s">
        <v>765</v>
      </c>
      <c r="F63" s="113" t="s">
        <v>572</v>
      </c>
      <c r="G63" s="113" t="s">
        <v>766</v>
      </c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24.5" customHeight="1">
      <c r="A64" s="121"/>
      <c r="B64" s="112" t="s">
        <v>623</v>
      </c>
      <c r="C64" s="113" t="s">
        <v>767</v>
      </c>
      <c r="D64" s="114"/>
      <c r="E64" s="113" t="s">
        <v>768</v>
      </c>
      <c r="F64" s="103" t="s">
        <v>572</v>
      </c>
      <c r="G64" s="103"/>
      <c r="H64" s="103"/>
      <c r="I64" s="27"/>
      <c r="J64" s="27"/>
      <c r="K64" s="103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24.5" customHeight="1">
      <c r="A65" s="121"/>
      <c r="B65" s="136" t="s">
        <v>769</v>
      </c>
      <c r="C65" s="113" t="s">
        <v>770</v>
      </c>
      <c r="D65" s="114"/>
      <c r="E65" s="113" t="s">
        <v>771</v>
      </c>
      <c r="F65" s="119" t="s">
        <v>572</v>
      </c>
      <c r="G65" s="113"/>
      <c r="H65" s="101"/>
      <c r="I65" s="103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24.5" customHeight="1">
      <c r="A66" s="121"/>
      <c r="B66" s="117" t="s">
        <v>751</v>
      </c>
      <c r="C66" s="113" t="s">
        <v>772</v>
      </c>
      <c r="D66" s="114"/>
      <c r="E66" s="113" t="s">
        <v>773</v>
      </c>
      <c r="F66" s="119" t="s">
        <v>572</v>
      </c>
      <c r="G66" s="113"/>
      <c r="H66" s="103"/>
      <c r="I66" s="103"/>
      <c r="J66" s="103"/>
      <c r="K66" s="109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24.5" customHeight="1">
      <c r="A67" s="121"/>
      <c r="B67" s="117" t="s">
        <v>774</v>
      </c>
      <c r="C67" s="113" t="s">
        <v>775</v>
      </c>
      <c r="D67" s="114"/>
      <c r="E67" s="113" t="s">
        <v>776</v>
      </c>
      <c r="F67" s="119" t="s">
        <v>572</v>
      </c>
      <c r="G67" s="113" t="s">
        <v>777</v>
      </c>
      <c r="H67" s="101"/>
      <c r="I67" s="103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24.5" customHeight="1">
      <c r="A68" s="121"/>
      <c r="B68" s="139" t="s">
        <v>778</v>
      </c>
      <c r="C68" s="115" t="s">
        <v>779</v>
      </c>
      <c r="D68" s="114" t="s">
        <v>780</v>
      </c>
      <c r="E68" s="125" t="s">
        <v>781</v>
      </c>
      <c r="F68" s="113" t="s">
        <v>572</v>
      </c>
      <c r="G68" s="115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24.5" customHeight="1">
      <c r="A69" s="121"/>
      <c r="B69" s="117" t="s">
        <v>782</v>
      </c>
      <c r="C69" s="113" t="s">
        <v>783</v>
      </c>
      <c r="D69" s="114"/>
      <c r="E69" s="125" t="s">
        <v>784</v>
      </c>
      <c r="F69" s="113" t="s">
        <v>572</v>
      </c>
      <c r="G69" s="113" t="s">
        <v>785</v>
      </c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24.5" customHeight="1">
      <c r="A70" s="121"/>
      <c r="B70" s="117" t="s">
        <v>786</v>
      </c>
      <c r="C70" s="113" t="s">
        <v>787</v>
      </c>
      <c r="D70" s="114"/>
      <c r="E70" s="113" t="s">
        <v>788</v>
      </c>
      <c r="F70" s="119" t="s">
        <v>572</v>
      </c>
      <c r="G70" s="113" t="s">
        <v>644</v>
      </c>
      <c r="H70" s="101"/>
      <c r="I70" s="103"/>
      <c r="J70" s="101"/>
      <c r="K70" s="27" t="s">
        <v>789</v>
      </c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24.5" customHeight="1">
      <c r="A71" s="121"/>
      <c r="B71" s="112" t="s">
        <v>790</v>
      </c>
      <c r="C71" s="113" t="s">
        <v>791</v>
      </c>
      <c r="D71" s="114"/>
      <c r="E71" s="134" t="s">
        <v>792</v>
      </c>
      <c r="F71" s="103" t="s">
        <v>595</v>
      </c>
      <c r="G71" s="103" t="s">
        <v>793</v>
      </c>
      <c r="H71" s="103"/>
      <c r="I71" s="27"/>
      <c r="J71" s="27"/>
      <c r="K71" s="103" t="s">
        <v>794</v>
      </c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24.5" customHeight="1">
      <c r="A72" s="121"/>
      <c r="B72" s="117" t="s">
        <v>599</v>
      </c>
      <c r="C72" s="140" t="s">
        <v>795</v>
      </c>
      <c r="D72" s="114"/>
      <c r="E72" s="113" t="s">
        <v>796</v>
      </c>
      <c r="F72" s="119" t="s">
        <v>572</v>
      </c>
      <c r="G72" s="113" t="s">
        <v>797</v>
      </c>
      <c r="H72" s="101"/>
      <c r="I72" s="103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24.5" customHeight="1">
      <c r="A73" s="121"/>
      <c r="B73" s="123" t="s">
        <v>751</v>
      </c>
      <c r="C73" s="113" t="s">
        <v>798</v>
      </c>
      <c r="D73" s="114"/>
      <c r="E73" s="113" t="s">
        <v>799</v>
      </c>
      <c r="F73" s="113" t="s">
        <v>582</v>
      </c>
      <c r="G73" s="113" t="s">
        <v>649</v>
      </c>
      <c r="H73" s="103"/>
      <c r="I73" s="103"/>
      <c r="J73" s="103"/>
      <c r="K73" s="109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24.5" customHeight="1">
      <c r="A74" s="121"/>
      <c r="B74" s="126" t="s">
        <v>800</v>
      </c>
      <c r="C74" s="113" t="s">
        <v>801</v>
      </c>
      <c r="D74" s="114"/>
      <c r="E74" s="113" t="s">
        <v>802</v>
      </c>
      <c r="F74" s="103" t="s">
        <v>582</v>
      </c>
      <c r="G74" s="103" t="s">
        <v>803</v>
      </c>
      <c r="H74" s="103"/>
      <c r="I74" s="27"/>
      <c r="J74" s="27"/>
      <c r="K74" s="103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24.5" customHeight="1">
      <c r="A75" s="121"/>
      <c r="B75" s="126" t="s">
        <v>804</v>
      </c>
      <c r="C75" s="113" t="s">
        <v>805</v>
      </c>
      <c r="D75" s="114"/>
      <c r="E75" s="113" t="s">
        <v>806</v>
      </c>
      <c r="F75" s="113" t="s">
        <v>572</v>
      </c>
      <c r="G75" s="103" t="s">
        <v>807</v>
      </c>
      <c r="H75" s="103"/>
      <c r="I75" s="27"/>
      <c r="J75" s="27"/>
      <c r="K75" s="103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24.5" customHeight="1">
      <c r="A76" s="121"/>
      <c r="B76" s="122" t="s">
        <v>769</v>
      </c>
      <c r="C76" s="113" t="s">
        <v>808</v>
      </c>
      <c r="D76" s="114"/>
      <c r="E76" s="127" t="s">
        <v>809</v>
      </c>
      <c r="F76" s="119" t="s">
        <v>572</v>
      </c>
      <c r="G76" s="103" t="s">
        <v>759</v>
      </c>
      <c r="H76" s="103"/>
      <c r="I76" s="27"/>
      <c r="J76" s="27"/>
      <c r="K76" s="103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24.5" customHeight="1">
      <c r="A77" s="121"/>
      <c r="B77" s="126" t="s">
        <v>737</v>
      </c>
      <c r="C77" s="113" t="s">
        <v>810</v>
      </c>
      <c r="D77" s="114"/>
      <c r="E77" s="113" t="s">
        <v>811</v>
      </c>
      <c r="F77" s="113" t="s">
        <v>572</v>
      </c>
      <c r="G77" s="113" t="s">
        <v>683</v>
      </c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24.5" customHeight="1">
      <c r="A78" s="121"/>
      <c r="B78" s="132" t="s">
        <v>599</v>
      </c>
      <c r="C78" s="113" t="s">
        <v>812</v>
      </c>
      <c r="D78" s="114"/>
      <c r="E78" s="137" t="s">
        <v>813</v>
      </c>
      <c r="F78" s="113" t="s">
        <v>602</v>
      </c>
      <c r="G78" s="113" t="s">
        <v>814</v>
      </c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24.5" customHeight="1">
      <c r="A79" s="121"/>
      <c r="B79" s="112" t="s">
        <v>815</v>
      </c>
      <c r="C79" s="115" t="s">
        <v>816</v>
      </c>
      <c r="D79" s="114" t="s">
        <v>817</v>
      </c>
      <c r="E79" s="113" t="s">
        <v>818</v>
      </c>
      <c r="F79" s="113" t="s">
        <v>572</v>
      </c>
      <c r="G79" s="113" t="s">
        <v>747</v>
      </c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24.5" customHeight="1">
      <c r="A80" s="121"/>
      <c r="B80" s="123" t="s">
        <v>819</v>
      </c>
      <c r="C80" s="113" t="s">
        <v>820</v>
      </c>
      <c r="D80" s="114"/>
      <c r="E80" s="113" t="s">
        <v>821</v>
      </c>
      <c r="F80" s="119" t="s">
        <v>572</v>
      </c>
      <c r="G80" s="113" t="s">
        <v>644</v>
      </c>
      <c r="H80" s="101"/>
      <c r="I80" s="103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24.5" customHeight="1">
      <c r="A81" s="121"/>
      <c r="B81" s="117" t="s">
        <v>599</v>
      </c>
      <c r="C81" s="113" t="s">
        <v>822</v>
      </c>
      <c r="D81" s="114"/>
      <c r="E81" s="135" t="s">
        <v>823</v>
      </c>
      <c r="F81" s="113" t="s">
        <v>572</v>
      </c>
      <c r="G81" s="113" t="s">
        <v>824</v>
      </c>
      <c r="H81" s="103"/>
      <c r="I81" s="103"/>
      <c r="J81" s="103"/>
      <c r="K81" s="109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24.5" customHeight="1">
      <c r="A82" s="121"/>
      <c r="B82" s="132" t="s">
        <v>599</v>
      </c>
      <c r="C82" s="113" t="s">
        <v>825</v>
      </c>
      <c r="D82" s="114"/>
      <c r="E82" s="125" t="s">
        <v>826</v>
      </c>
      <c r="F82" s="113" t="s">
        <v>572</v>
      </c>
      <c r="G82" s="113" t="s">
        <v>827</v>
      </c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24.5" customHeight="1">
      <c r="A83" s="121"/>
      <c r="B83" s="124" t="s">
        <v>599</v>
      </c>
      <c r="C83" s="113" t="s">
        <v>828</v>
      </c>
      <c r="D83" s="114"/>
      <c r="E83" s="125" t="s">
        <v>829</v>
      </c>
      <c r="F83" s="113" t="s">
        <v>572</v>
      </c>
      <c r="G83" s="113" t="s">
        <v>830</v>
      </c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24.5" customHeight="1">
      <c r="A84" s="121"/>
      <c r="B84" s="123" t="s">
        <v>800</v>
      </c>
      <c r="C84" s="113" t="s">
        <v>831</v>
      </c>
      <c r="D84" s="114"/>
      <c r="E84" s="113" t="s">
        <v>832</v>
      </c>
      <c r="F84" s="113" t="s">
        <v>648</v>
      </c>
      <c r="G84" s="113" t="s">
        <v>833</v>
      </c>
      <c r="H84" s="103"/>
      <c r="I84" s="103" t="s">
        <v>834</v>
      </c>
      <c r="J84" s="103" t="s">
        <v>835</v>
      </c>
      <c r="K84" s="109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24.5" hidden="1" customHeight="1">
      <c r="A85" s="121"/>
      <c r="B85" s="122" t="s">
        <v>836</v>
      </c>
      <c r="C85" s="113" t="s">
        <v>837</v>
      </c>
      <c r="D85" s="114"/>
      <c r="E85" s="113" t="s">
        <v>838</v>
      </c>
      <c r="F85" s="119" t="s">
        <v>572</v>
      </c>
      <c r="G85" s="113" t="s">
        <v>629</v>
      </c>
      <c r="H85" s="101"/>
      <c r="I85" s="103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24.5" customHeight="1">
      <c r="A86" s="121"/>
      <c r="B86" s="126" t="s">
        <v>737</v>
      </c>
      <c r="C86" s="113" t="s">
        <v>839</v>
      </c>
      <c r="D86" s="114"/>
      <c r="E86" s="113" t="s">
        <v>840</v>
      </c>
      <c r="F86" s="113" t="s">
        <v>582</v>
      </c>
      <c r="G86" s="113" t="s">
        <v>841</v>
      </c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24.5" customHeight="1">
      <c r="A87" s="121"/>
      <c r="B87" s="122" t="s">
        <v>842</v>
      </c>
      <c r="C87" s="113" t="s">
        <v>843</v>
      </c>
      <c r="D87" s="114"/>
      <c r="E87" s="125" t="s">
        <v>844</v>
      </c>
      <c r="F87" s="119" t="s">
        <v>845</v>
      </c>
      <c r="G87" s="113" t="s">
        <v>846</v>
      </c>
      <c r="H87" s="101"/>
      <c r="I87" s="103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24.5" customHeight="1">
      <c r="A88" s="121"/>
      <c r="B88" s="133" t="s">
        <v>847</v>
      </c>
      <c r="C88" s="113" t="s">
        <v>848</v>
      </c>
      <c r="D88" s="114"/>
      <c r="E88" s="120" t="s">
        <v>849</v>
      </c>
      <c r="F88" s="119"/>
      <c r="G88" s="113" t="s">
        <v>850</v>
      </c>
      <c r="H88" s="101"/>
      <c r="I88" s="103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44.75" customHeight="1">
      <c r="A89" s="121"/>
      <c r="B89" s="132" t="s">
        <v>599</v>
      </c>
      <c r="C89" s="113" t="s">
        <v>851</v>
      </c>
      <c r="D89" s="114"/>
      <c r="E89" s="125" t="s">
        <v>852</v>
      </c>
      <c r="F89" s="113" t="s">
        <v>602</v>
      </c>
      <c r="G89" s="113" t="s">
        <v>853</v>
      </c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24.5" customHeight="1">
      <c r="A90" s="121"/>
      <c r="B90" s="117" t="s">
        <v>599</v>
      </c>
      <c r="C90" s="113" t="s">
        <v>854</v>
      </c>
      <c r="D90" s="114"/>
      <c r="E90" s="113" t="s">
        <v>855</v>
      </c>
      <c r="F90" s="113" t="s">
        <v>572</v>
      </c>
      <c r="G90" s="113" t="s">
        <v>856</v>
      </c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24.5" customHeight="1">
      <c r="A91" s="121"/>
      <c r="B91" s="136" t="s">
        <v>769</v>
      </c>
      <c r="C91" s="113" t="s">
        <v>857</v>
      </c>
      <c r="D91" s="114"/>
      <c r="E91" s="127" t="s">
        <v>858</v>
      </c>
      <c r="F91" s="119" t="s">
        <v>845</v>
      </c>
      <c r="G91" s="113" t="s">
        <v>859</v>
      </c>
      <c r="H91" s="101"/>
      <c r="I91" s="103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24.5" customHeight="1">
      <c r="A92" s="121"/>
      <c r="B92" s="112" t="s">
        <v>720</v>
      </c>
      <c r="C92" s="113" t="s">
        <v>860</v>
      </c>
      <c r="D92" s="114"/>
      <c r="E92" s="113" t="s">
        <v>861</v>
      </c>
      <c r="F92" s="103" t="s">
        <v>648</v>
      </c>
      <c r="G92" s="103" t="s">
        <v>649</v>
      </c>
      <c r="H92" s="103"/>
      <c r="I92" s="27"/>
      <c r="J92" s="27"/>
      <c r="K92" s="103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24.5" customHeight="1">
      <c r="A93" s="121"/>
      <c r="B93" s="117" t="s">
        <v>862</v>
      </c>
      <c r="C93" s="113" t="s">
        <v>863</v>
      </c>
      <c r="D93" s="114"/>
      <c r="E93" s="127" t="s">
        <v>864</v>
      </c>
      <c r="F93" s="113" t="s">
        <v>572</v>
      </c>
      <c r="G93" s="113"/>
      <c r="H93" s="103"/>
      <c r="I93" s="103"/>
      <c r="J93" s="103"/>
      <c r="K93" s="10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24.5" customHeight="1">
      <c r="A94" s="121"/>
      <c r="B94" s="136" t="s">
        <v>865</v>
      </c>
      <c r="C94" s="140" t="s">
        <v>866</v>
      </c>
      <c r="D94" s="114"/>
      <c r="E94" s="113" t="s">
        <v>867</v>
      </c>
      <c r="F94" s="103" t="s">
        <v>868</v>
      </c>
      <c r="G94" s="103" t="s">
        <v>669</v>
      </c>
      <c r="H94" s="103"/>
      <c r="I94" s="27"/>
      <c r="J94" s="27"/>
      <c r="K94" s="103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24.5" customHeight="1">
      <c r="A95" s="121"/>
      <c r="B95" s="132" t="s">
        <v>599</v>
      </c>
      <c r="C95" s="113" t="s">
        <v>869</v>
      </c>
      <c r="D95" s="114"/>
      <c r="E95" s="125" t="s">
        <v>870</v>
      </c>
      <c r="F95" s="113" t="s">
        <v>602</v>
      </c>
      <c r="G95" s="115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24.5" customHeight="1">
      <c r="A96" s="121"/>
      <c r="B96" s="141" t="s">
        <v>871</v>
      </c>
      <c r="C96" s="113" t="s">
        <v>872</v>
      </c>
      <c r="D96" s="114"/>
      <c r="E96" s="137" t="s">
        <v>873</v>
      </c>
      <c r="F96" s="113" t="s">
        <v>874</v>
      </c>
      <c r="G96" s="113" t="s">
        <v>875</v>
      </c>
      <c r="H96" s="101"/>
      <c r="I96" s="101"/>
      <c r="J96" s="101"/>
      <c r="K96" s="103" t="s">
        <v>876</v>
      </c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24.5" customHeight="1">
      <c r="A97" s="121"/>
      <c r="B97" s="117" t="s">
        <v>877</v>
      </c>
      <c r="C97" s="113" t="s">
        <v>878</v>
      </c>
      <c r="D97" s="114"/>
      <c r="E97" s="113" t="s">
        <v>879</v>
      </c>
      <c r="F97" s="119" t="s">
        <v>595</v>
      </c>
      <c r="G97" s="113"/>
      <c r="H97" s="101"/>
      <c r="I97" s="103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24.5" customHeight="1">
      <c r="A98" s="121"/>
      <c r="B98" s="132" t="s">
        <v>599</v>
      </c>
      <c r="C98" s="113" t="s">
        <v>880</v>
      </c>
      <c r="D98" s="114"/>
      <c r="E98" s="125" t="s">
        <v>881</v>
      </c>
      <c r="F98" s="113" t="s">
        <v>602</v>
      </c>
      <c r="G98" s="115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24.5" customHeight="1">
      <c r="A99" s="121"/>
      <c r="B99" s="117" t="s">
        <v>751</v>
      </c>
      <c r="C99" s="113" t="s">
        <v>882</v>
      </c>
      <c r="D99" s="114"/>
      <c r="E99" s="113" t="s">
        <v>883</v>
      </c>
      <c r="F99" s="119" t="s">
        <v>572</v>
      </c>
      <c r="G99" s="113" t="s">
        <v>884</v>
      </c>
      <c r="H99" s="103"/>
      <c r="I99" s="103"/>
      <c r="J99" s="103"/>
      <c r="K99" s="109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24.5" customHeight="1">
      <c r="A100" s="121"/>
      <c r="B100" s="112" t="s">
        <v>885</v>
      </c>
      <c r="C100" s="113" t="s">
        <v>886</v>
      </c>
      <c r="D100" s="114"/>
      <c r="E100" s="113" t="s">
        <v>887</v>
      </c>
      <c r="F100" s="103" t="s">
        <v>595</v>
      </c>
      <c r="G100" s="103" t="s">
        <v>888</v>
      </c>
      <c r="H100" s="103"/>
      <c r="I100" s="27"/>
      <c r="J100" s="27"/>
      <c r="K100" s="103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24.5" customHeight="1">
      <c r="A101" s="121"/>
      <c r="B101" s="117" t="s">
        <v>599</v>
      </c>
      <c r="C101" s="113" t="s">
        <v>889</v>
      </c>
      <c r="D101" s="114"/>
      <c r="E101" s="135" t="s">
        <v>890</v>
      </c>
      <c r="F101" s="113" t="s">
        <v>572</v>
      </c>
      <c r="G101" s="113"/>
      <c r="H101" s="103"/>
      <c r="I101" s="103"/>
      <c r="J101" s="103"/>
      <c r="K101" s="109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24.5" customHeight="1">
      <c r="A102" s="121"/>
      <c r="B102" s="132" t="s">
        <v>599</v>
      </c>
      <c r="C102" s="142" t="s">
        <v>891</v>
      </c>
      <c r="D102" s="114"/>
      <c r="E102" s="125" t="s">
        <v>892</v>
      </c>
      <c r="F102" s="113" t="s">
        <v>893</v>
      </c>
      <c r="G102" s="115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24.5" customHeight="1">
      <c r="A103" s="121"/>
      <c r="B103" s="117" t="s">
        <v>894</v>
      </c>
      <c r="C103" s="113" t="s">
        <v>895</v>
      </c>
      <c r="D103" s="114"/>
      <c r="E103" s="120" t="s">
        <v>896</v>
      </c>
      <c r="F103" s="119" t="s">
        <v>660</v>
      </c>
      <c r="G103" s="113" t="s">
        <v>833</v>
      </c>
      <c r="H103" s="101"/>
      <c r="I103" s="103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24.5" customHeight="1">
      <c r="A104" s="121"/>
      <c r="B104" s="112" t="s">
        <v>734</v>
      </c>
      <c r="C104" s="113" t="s">
        <v>897</v>
      </c>
      <c r="D104" s="114"/>
      <c r="E104" s="113" t="s">
        <v>898</v>
      </c>
      <c r="F104" s="113" t="s">
        <v>582</v>
      </c>
      <c r="G104" s="113" t="s">
        <v>899</v>
      </c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24.5" customHeight="1">
      <c r="A105" s="121"/>
      <c r="B105" s="117" t="s">
        <v>599</v>
      </c>
      <c r="C105" s="113" t="s">
        <v>900</v>
      </c>
      <c r="D105" s="114"/>
      <c r="E105" s="127" t="s">
        <v>901</v>
      </c>
      <c r="F105" s="113" t="s">
        <v>902</v>
      </c>
      <c r="G105" s="113" t="s">
        <v>903</v>
      </c>
      <c r="H105" s="103"/>
      <c r="I105" s="103"/>
      <c r="J105" s="103"/>
      <c r="K105" s="109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24.5" customHeight="1">
      <c r="A106" s="121"/>
      <c r="B106" s="112" t="s">
        <v>599</v>
      </c>
      <c r="C106" s="113" t="s">
        <v>904</v>
      </c>
      <c r="D106" s="114" t="s">
        <v>905</v>
      </c>
      <c r="E106" s="125" t="s">
        <v>906</v>
      </c>
      <c r="F106" s="113" t="s">
        <v>602</v>
      </c>
      <c r="G106" s="113" t="s">
        <v>907</v>
      </c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24.5" customHeight="1">
      <c r="A107" s="121"/>
      <c r="B107" s="132" t="s">
        <v>599</v>
      </c>
      <c r="C107" s="113" t="s">
        <v>908</v>
      </c>
      <c r="D107" s="114"/>
      <c r="E107" s="125" t="s">
        <v>909</v>
      </c>
      <c r="F107" s="113" t="s">
        <v>602</v>
      </c>
      <c r="G107" s="115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24.5" customHeight="1">
      <c r="A108" s="121"/>
      <c r="B108" s="143" t="s">
        <v>910</v>
      </c>
      <c r="C108" s="113" t="s">
        <v>911</v>
      </c>
      <c r="D108" s="114"/>
      <c r="E108" s="135" t="s">
        <v>912</v>
      </c>
      <c r="F108" s="113" t="s">
        <v>602</v>
      </c>
      <c r="G108" s="113" t="s">
        <v>913</v>
      </c>
      <c r="H108" s="101"/>
      <c r="I108" s="103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24.5" customHeight="1">
      <c r="A109" s="121"/>
      <c r="B109" s="117" t="s">
        <v>914</v>
      </c>
      <c r="C109" s="113" t="s">
        <v>915</v>
      </c>
      <c r="D109" s="114"/>
      <c r="E109" s="113" t="s">
        <v>916</v>
      </c>
      <c r="F109" s="119" t="s">
        <v>572</v>
      </c>
      <c r="G109" s="113" t="s">
        <v>917</v>
      </c>
      <c r="H109" s="101"/>
      <c r="I109" s="103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24.5" customHeight="1">
      <c r="A110" s="121"/>
      <c r="B110" s="123" t="s">
        <v>914</v>
      </c>
      <c r="C110" s="113" t="s">
        <v>918</v>
      </c>
      <c r="D110" s="114"/>
      <c r="E110" s="113" t="s">
        <v>919</v>
      </c>
      <c r="F110" s="103" t="s">
        <v>582</v>
      </c>
      <c r="G110" s="103" t="s">
        <v>920</v>
      </c>
      <c r="H110" s="103"/>
      <c r="I110" s="27"/>
      <c r="J110" s="27"/>
      <c r="K110" s="103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24.5" customHeight="1">
      <c r="A111" s="116"/>
      <c r="B111" s="138" t="s">
        <v>599</v>
      </c>
      <c r="C111" s="113" t="s">
        <v>921</v>
      </c>
      <c r="D111" s="114"/>
      <c r="E111" s="113" t="s">
        <v>922</v>
      </c>
      <c r="F111" s="113" t="s">
        <v>572</v>
      </c>
      <c r="G111" s="115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24.5" customHeight="1">
      <c r="A112" s="116"/>
      <c r="B112" s="112" t="s">
        <v>673</v>
      </c>
      <c r="C112" s="113" t="s">
        <v>923</v>
      </c>
      <c r="D112" s="144"/>
      <c r="E112" s="134" t="s">
        <v>924</v>
      </c>
      <c r="F112" s="134" t="s">
        <v>582</v>
      </c>
      <c r="G112" s="103" t="s">
        <v>649</v>
      </c>
      <c r="H112" s="103"/>
      <c r="I112" s="27"/>
      <c r="J112" s="27"/>
      <c r="K112" s="103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44.0" customHeight="1">
      <c r="A113" s="116"/>
      <c r="B113" s="132" t="s">
        <v>599</v>
      </c>
      <c r="C113" s="113" t="s">
        <v>925</v>
      </c>
      <c r="D113" s="114"/>
      <c r="E113" s="125" t="s">
        <v>926</v>
      </c>
      <c r="F113" s="113" t="s">
        <v>572</v>
      </c>
      <c r="G113" s="115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24.5" customHeight="1">
      <c r="A114" s="116"/>
      <c r="B114" s="117" t="s">
        <v>711</v>
      </c>
      <c r="C114" s="113" t="s">
        <v>927</v>
      </c>
      <c r="D114" s="114"/>
      <c r="E114" s="113" t="s">
        <v>928</v>
      </c>
      <c r="F114" s="119" t="s">
        <v>660</v>
      </c>
      <c r="G114" s="113" t="s">
        <v>714</v>
      </c>
      <c r="H114" s="101"/>
      <c r="I114" s="103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24.5" customHeight="1">
      <c r="A115" s="116"/>
      <c r="B115" s="112" t="s">
        <v>569</v>
      </c>
      <c r="C115" s="113" t="s">
        <v>929</v>
      </c>
      <c r="D115" s="114"/>
      <c r="E115" s="113" t="s">
        <v>930</v>
      </c>
      <c r="F115" s="113" t="s">
        <v>572</v>
      </c>
      <c r="G115" s="115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24.5" customHeight="1">
      <c r="A116" s="116"/>
      <c r="B116" s="125" t="s">
        <v>931</v>
      </c>
      <c r="C116" s="113" t="s">
        <v>932</v>
      </c>
      <c r="D116" s="114" t="s">
        <v>933</v>
      </c>
      <c r="E116" s="113" t="s">
        <v>934</v>
      </c>
      <c r="F116" s="113" t="s">
        <v>572</v>
      </c>
      <c r="G116" s="113" t="s">
        <v>935</v>
      </c>
      <c r="H116" s="101" t="s">
        <v>936</v>
      </c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24.5" customHeight="1">
      <c r="A117" s="116"/>
      <c r="B117" s="117" t="s">
        <v>599</v>
      </c>
      <c r="C117" s="113" t="s">
        <v>937</v>
      </c>
      <c r="D117" s="114"/>
      <c r="E117" s="113" t="s">
        <v>938</v>
      </c>
      <c r="F117" s="113" t="s">
        <v>572</v>
      </c>
      <c r="G117" s="113" t="s">
        <v>939</v>
      </c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24.5" customHeight="1">
      <c r="A118" s="116"/>
      <c r="B118" s="132" t="s">
        <v>599</v>
      </c>
      <c r="C118" s="113" t="s">
        <v>940</v>
      </c>
      <c r="D118" s="114"/>
      <c r="E118" s="125" t="s">
        <v>941</v>
      </c>
      <c r="F118" s="113" t="s">
        <v>602</v>
      </c>
      <c r="G118" s="113" t="s">
        <v>942</v>
      </c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24.5" customHeight="1">
      <c r="A119" s="116"/>
      <c r="B119" s="132" t="s">
        <v>599</v>
      </c>
      <c r="C119" s="113" t="s">
        <v>943</v>
      </c>
      <c r="D119" s="114"/>
      <c r="E119" s="125" t="s">
        <v>944</v>
      </c>
      <c r="F119" s="113" t="s">
        <v>602</v>
      </c>
      <c r="G119" s="113" t="s">
        <v>945</v>
      </c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24.5" customHeight="1">
      <c r="A120" s="116"/>
      <c r="B120" s="117" t="s">
        <v>946</v>
      </c>
      <c r="C120" s="113" t="s">
        <v>947</v>
      </c>
      <c r="D120" s="114"/>
      <c r="E120" s="113" t="s">
        <v>948</v>
      </c>
      <c r="F120" s="113" t="s">
        <v>949</v>
      </c>
      <c r="G120" s="113" t="s">
        <v>950</v>
      </c>
      <c r="H120" s="103"/>
      <c r="I120" s="103"/>
      <c r="J120" s="103"/>
      <c r="K120" s="109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24.5" customHeight="1">
      <c r="A121" s="116"/>
      <c r="B121" s="112" t="s">
        <v>951</v>
      </c>
      <c r="C121" s="113" t="s">
        <v>952</v>
      </c>
      <c r="D121" s="114"/>
      <c r="E121" s="127" t="s">
        <v>953</v>
      </c>
      <c r="F121" s="103" t="s">
        <v>595</v>
      </c>
      <c r="G121" s="103" t="s">
        <v>954</v>
      </c>
      <c r="H121" s="103"/>
      <c r="I121" s="27"/>
      <c r="J121" s="27"/>
      <c r="K121" s="103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24.5" customHeight="1">
      <c r="A122" s="116"/>
      <c r="B122" s="133" t="s">
        <v>955</v>
      </c>
      <c r="C122" s="113" t="s">
        <v>956</v>
      </c>
      <c r="D122" s="114"/>
      <c r="E122" s="127" t="s">
        <v>957</v>
      </c>
      <c r="F122" s="119" t="s">
        <v>572</v>
      </c>
      <c r="G122" s="113" t="s">
        <v>958</v>
      </c>
      <c r="H122" s="101"/>
      <c r="I122" s="103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24.5" customHeight="1">
      <c r="A123" s="116"/>
      <c r="B123" s="112" t="s">
        <v>959</v>
      </c>
      <c r="C123" s="113" t="s">
        <v>960</v>
      </c>
      <c r="D123" s="114"/>
      <c r="E123" s="127" t="s">
        <v>961</v>
      </c>
      <c r="F123" s="113" t="s">
        <v>572</v>
      </c>
      <c r="G123" s="113" t="s">
        <v>958</v>
      </c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24.5" customHeight="1">
      <c r="A124" s="116"/>
      <c r="B124" s="115" t="s">
        <v>962</v>
      </c>
      <c r="C124" s="115" t="s">
        <v>963</v>
      </c>
      <c r="D124" s="114" t="s">
        <v>964</v>
      </c>
      <c r="E124" s="115" t="s">
        <v>965</v>
      </c>
      <c r="F124" s="115"/>
      <c r="G124" s="115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24.5" customHeight="1">
      <c r="A125" s="116"/>
      <c r="B125" s="115" t="s">
        <v>588</v>
      </c>
      <c r="C125" s="115" t="s">
        <v>966</v>
      </c>
      <c r="D125" s="114" t="s">
        <v>967</v>
      </c>
      <c r="E125" s="115" t="s">
        <v>968</v>
      </c>
      <c r="F125" s="115"/>
      <c r="G125" s="115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24.5" customHeight="1">
      <c r="A126" s="116"/>
      <c r="B126" s="125" t="s">
        <v>969</v>
      </c>
      <c r="C126" s="115" t="s">
        <v>970</v>
      </c>
      <c r="D126" s="114" t="s">
        <v>971</v>
      </c>
      <c r="E126" s="113" t="s">
        <v>972</v>
      </c>
      <c r="F126" s="103"/>
      <c r="G126" s="103"/>
      <c r="H126" s="103"/>
      <c r="I126" s="27"/>
      <c r="J126" s="27"/>
      <c r="K126" s="103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24.5" customHeight="1">
      <c r="A127" s="116"/>
      <c r="B127" s="115" t="s">
        <v>973</v>
      </c>
      <c r="C127" s="115" t="s">
        <v>974</v>
      </c>
      <c r="D127" s="114" t="s">
        <v>975</v>
      </c>
      <c r="E127" s="115" t="s">
        <v>976</v>
      </c>
      <c r="F127" s="115"/>
      <c r="G127" s="115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24.5" customHeight="1">
      <c r="A128" s="116"/>
      <c r="B128" s="115" t="s">
        <v>977</v>
      </c>
      <c r="C128" s="115" t="s">
        <v>978</v>
      </c>
      <c r="D128" s="114" t="s">
        <v>979</v>
      </c>
      <c r="E128" s="115" t="s">
        <v>980</v>
      </c>
      <c r="F128" s="115"/>
      <c r="G128" s="115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24.5" customHeight="1">
      <c r="A129" s="116"/>
      <c r="B129" s="115" t="s">
        <v>981</v>
      </c>
      <c r="C129" s="115" t="s">
        <v>982</v>
      </c>
      <c r="D129" s="114" t="s">
        <v>983</v>
      </c>
      <c r="E129" s="115" t="s">
        <v>984</v>
      </c>
      <c r="F129" s="115"/>
      <c r="G129" s="115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24.5" customHeight="1">
      <c r="A130" s="116"/>
      <c r="B130" s="125" t="s">
        <v>985</v>
      </c>
      <c r="C130" s="115" t="s">
        <v>986</v>
      </c>
      <c r="D130" s="114" t="s">
        <v>987</v>
      </c>
      <c r="E130" s="115" t="s">
        <v>988</v>
      </c>
      <c r="F130" s="115"/>
      <c r="G130" s="115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24.5" customHeight="1">
      <c r="A131" s="116"/>
      <c r="B131" s="115" t="s">
        <v>989</v>
      </c>
      <c r="C131" s="115" t="s">
        <v>990</v>
      </c>
      <c r="D131" s="114" t="s">
        <v>991</v>
      </c>
      <c r="E131" s="115" t="s">
        <v>992</v>
      </c>
      <c r="F131" s="115"/>
      <c r="G131" s="115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24.5" customHeight="1">
      <c r="A132" s="116"/>
      <c r="B132" s="115" t="s">
        <v>588</v>
      </c>
      <c r="C132" s="115" t="s">
        <v>993</v>
      </c>
      <c r="D132" s="114" t="s">
        <v>994</v>
      </c>
      <c r="E132" s="115" t="s">
        <v>995</v>
      </c>
      <c r="F132" s="115"/>
      <c r="G132" s="115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24.5" customHeight="1">
      <c r="A133" s="116"/>
      <c r="B133" s="115" t="s">
        <v>588</v>
      </c>
      <c r="C133" s="115" t="s">
        <v>996</v>
      </c>
      <c r="D133" s="114" t="s">
        <v>997</v>
      </c>
      <c r="E133" s="115" t="s">
        <v>998</v>
      </c>
      <c r="F133" s="113"/>
      <c r="G133" s="113"/>
      <c r="H133" s="103"/>
      <c r="I133" s="103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24.5" customHeight="1">
      <c r="A134" s="116"/>
      <c r="B134" s="115" t="s">
        <v>999</v>
      </c>
      <c r="C134" s="115" t="s">
        <v>1000</v>
      </c>
      <c r="D134" s="114" t="s">
        <v>1001</v>
      </c>
      <c r="E134" s="115" t="s">
        <v>1002</v>
      </c>
      <c r="F134" s="115"/>
      <c r="G134" s="115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24.5" customHeight="1">
      <c r="A135" s="116"/>
      <c r="B135" s="115" t="s">
        <v>1003</v>
      </c>
      <c r="C135" s="115" t="s">
        <v>1004</v>
      </c>
      <c r="D135" s="114" t="s">
        <v>1005</v>
      </c>
      <c r="E135" s="115" t="s">
        <v>1006</v>
      </c>
      <c r="F135" s="115"/>
      <c r="G135" s="115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24.5" customHeight="1">
      <c r="A136" s="116"/>
      <c r="B136" s="115" t="s">
        <v>588</v>
      </c>
      <c r="C136" s="115" t="s">
        <v>1007</v>
      </c>
      <c r="D136" s="114" t="s">
        <v>1008</v>
      </c>
      <c r="E136" s="115" t="s">
        <v>1009</v>
      </c>
      <c r="F136" s="115"/>
      <c r="G136" s="115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24.5" customHeight="1">
      <c r="A137" s="116"/>
      <c r="B137" s="115" t="s">
        <v>1010</v>
      </c>
      <c r="C137" s="115" t="s">
        <v>1011</v>
      </c>
      <c r="D137" s="114" t="s">
        <v>1012</v>
      </c>
      <c r="E137" s="115" t="s">
        <v>1013</v>
      </c>
      <c r="F137" s="115"/>
      <c r="G137" s="115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24.5" customHeight="1">
      <c r="A138" s="116"/>
      <c r="B138" s="115" t="s">
        <v>599</v>
      </c>
      <c r="C138" s="115" t="s">
        <v>1014</v>
      </c>
      <c r="D138" s="114" t="s">
        <v>1015</v>
      </c>
      <c r="E138" s="115" t="s">
        <v>1016</v>
      </c>
      <c r="F138" s="115"/>
      <c r="G138" s="115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24.5" customHeight="1">
      <c r="A139" s="116"/>
      <c r="B139" s="115" t="s">
        <v>1017</v>
      </c>
      <c r="C139" s="115" t="s">
        <v>1018</v>
      </c>
      <c r="D139" s="114" t="s">
        <v>1019</v>
      </c>
      <c r="E139" s="115" t="s">
        <v>1020</v>
      </c>
      <c r="F139" s="115"/>
      <c r="G139" s="115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24.5" customHeight="1">
      <c r="A140" s="116"/>
      <c r="B140" s="115" t="s">
        <v>1021</v>
      </c>
      <c r="C140" s="115" t="s">
        <v>1022</v>
      </c>
      <c r="D140" s="114" t="s">
        <v>1023</v>
      </c>
      <c r="E140" s="115" t="s">
        <v>1024</v>
      </c>
      <c r="F140" s="115"/>
      <c r="G140" s="115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24.5" customHeight="1">
      <c r="A141" s="116"/>
      <c r="B141" s="115" t="s">
        <v>1025</v>
      </c>
      <c r="C141" s="115" t="s">
        <v>1026</v>
      </c>
      <c r="D141" s="114" t="s">
        <v>1027</v>
      </c>
      <c r="E141" s="115" t="s">
        <v>1028</v>
      </c>
      <c r="F141" s="115"/>
      <c r="G141" s="115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24.5" customHeight="1">
      <c r="A142" s="116"/>
      <c r="B142" s="113" t="s">
        <v>1029</v>
      </c>
      <c r="C142" s="115" t="s">
        <v>1030</v>
      </c>
      <c r="D142" s="114" t="s">
        <v>1031</v>
      </c>
      <c r="E142" s="115" t="s">
        <v>1032</v>
      </c>
      <c r="F142" s="115"/>
      <c r="G142" s="115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24.5" customHeight="1">
      <c r="A143" s="116"/>
      <c r="B143" s="115" t="s">
        <v>1033</v>
      </c>
      <c r="C143" s="115" t="s">
        <v>1034</v>
      </c>
      <c r="D143" s="114" t="s">
        <v>1035</v>
      </c>
      <c r="E143" s="115" t="s">
        <v>1036</v>
      </c>
      <c r="F143" s="115"/>
      <c r="G143" s="115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24.5" customHeight="1">
      <c r="A144" s="116"/>
      <c r="B144" s="115" t="s">
        <v>1037</v>
      </c>
      <c r="C144" s="115" t="s">
        <v>1038</v>
      </c>
      <c r="D144" s="114" t="s">
        <v>1039</v>
      </c>
      <c r="E144" s="115" t="s">
        <v>1040</v>
      </c>
      <c r="F144" s="115"/>
      <c r="G144" s="115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24.5" customHeight="1">
      <c r="A145" s="116"/>
      <c r="B145" s="115" t="s">
        <v>1041</v>
      </c>
      <c r="C145" s="115" t="s">
        <v>1042</v>
      </c>
      <c r="D145" s="114" t="s">
        <v>1043</v>
      </c>
      <c r="E145" s="115" t="s">
        <v>1044</v>
      </c>
      <c r="F145" s="115"/>
      <c r="G145" s="115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24.5" customHeight="1">
      <c r="A146" s="116"/>
      <c r="B146" s="115" t="s">
        <v>999</v>
      </c>
      <c r="C146" s="115" t="s">
        <v>1045</v>
      </c>
      <c r="D146" s="114" t="s">
        <v>1046</v>
      </c>
      <c r="E146" s="115" t="s">
        <v>1047</v>
      </c>
      <c r="F146" s="115"/>
      <c r="G146" s="115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24.5" customHeight="1">
      <c r="A147" s="116"/>
      <c r="B147" s="115" t="s">
        <v>1048</v>
      </c>
      <c r="C147" s="115" t="s">
        <v>1049</v>
      </c>
      <c r="D147" s="114" t="s">
        <v>1050</v>
      </c>
      <c r="E147" s="115" t="s">
        <v>1051</v>
      </c>
      <c r="F147" s="115"/>
      <c r="G147" s="115"/>
      <c r="H147" s="101" t="s">
        <v>936</v>
      </c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24.5" customHeight="1">
      <c r="A148" s="116"/>
      <c r="B148" s="115" t="s">
        <v>1052</v>
      </c>
      <c r="C148" s="115" t="s">
        <v>1053</v>
      </c>
      <c r="D148" s="114" t="s">
        <v>1054</v>
      </c>
      <c r="E148" s="115" t="s">
        <v>1055</v>
      </c>
      <c r="F148" s="115"/>
      <c r="G148" s="115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24.5" customHeight="1">
      <c r="A149" s="116"/>
      <c r="B149" s="145" t="s">
        <v>1056</v>
      </c>
      <c r="C149" s="115" t="s">
        <v>1057</v>
      </c>
      <c r="D149" s="114" t="s">
        <v>1058</v>
      </c>
      <c r="E149" s="115" t="s">
        <v>972</v>
      </c>
      <c r="F149" s="113"/>
      <c r="G149" s="113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24.5" customHeight="1">
      <c r="A150" s="121"/>
      <c r="B150" s="146" t="s">
        <v>1059</v>
      </c>
      <c r="C150" s="115" t="s">
        <v>1060</v>
      </c>
      <c r="D150" s="114" t="s">
        <v>1061</v>
      </c>
      <c r="E150" s="115" t="s">
        <v>1062</v>
      </c>
      <c r="F150" s="115"/>
      <c r="G150" s="115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24.5" customHeight="1">
      <c r="A151" s="116"/>
      <c r="B151" s="115" t="s">
        <v>1063</v>
      </c>
      <c r="C151" s="115" t="s">
        <v>1064</v>
      </c>
      <c r="D151" s="114" t="s">
        <v>1065</v>
      </c>
      <c r="E151" s="115" t="s">
        <v>1066</v>
      </c>
      <c r="F151" s="115"/>
      <c r="G151" s="115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24.5" customHeight="1">
      <c r="A152" s="116"/>
      <c r="B152" s="115" t="s">
        <v>1067</v>
      </c>
      <c r="C152" s="115" t="s">
        <v>1068</v>
      </c>
      <c r="D152" s="114" t="s">
        <v>1069</v>
      </c>
      <c r="E152" s="115" t="s">
        <v>1070</v>
      </c>
      <c r="F152" s="115"/>
      <c r="G152" s="115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24.5" customHeight="1">
      <c r="A153" s="116"/>
      <c r="B153" s="115" t="s">
        <v>588</v>
      </c>
      <c r="C153" s="115" t="s">
        <v>1071</v>
      </c>
      <c r="D153" s="114" t="s">
        <v>1072</v>
      </c>
      <c r="E153" s="115" t="s">
        <v>1073</v>
      </c>
      <c r="F153" s="115"/>
      <c r="G153" s="115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24.5" customHeight="1">
      <c r="A154" s="116"/>
      <c r="B154" s="115" t="s">
        <v>588</v>
      </c>
      <c r="C154" s="115" t="s">
        <v>1074</v>
      </c>
      <c r="D154" s="114" t="s">
        <v>1075</v>
      </c>
      <c r="E154" s="115" t="s">
        <v>1076</v>
      </c>
      <c r="F154" s="113"/>
      <c r="G154" s="113"/>
      <c r="H154" s="103"/>
      <c r="I154" s="103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24.5" customHeight="1">
      <c r="A155" s="116"/>
      <c r="B155" s="115" t="s">
        <v>720</v>
      </c>
      <c r="C155" s="115" t="s">
        <v>1077</v>
      </c>
      <c r="D155" s="114" t="s">
        <v>1078</v>
      </c>
      <c r="E155" s="115" t="s">
        <v>1079</v>
      </c>
      <c r="F155" s="115"/>
      <c r="G155" s="115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24.5" customHeight="1">
      <c r="A156" s="116"/>
      <c r="B156" s="115" t="s">
        <v>1080</v>
      </c>
      <c r="C156" s="115" t="s">
        <v>1081</v>
      </c>
      <c r="D156" s="114" t="s">
        <v>1082</v>
      </c>
      <c r="E156" s="115" t="s">
        <v>1083</v>
      </c>
      <c r="F156" s="115"/>
      <c r="G156" s="115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24.5" customHeight="1">
      <c r="A157" s="116"/>
      <c r="B157" s="115" t="s">
        <v>1067</v>
      </c>
      <c r="C157" s="115" t="s">
        <v>1084</v>
      </c>
      <c r="D157" s="114" t="s">
        <v>1085</v>
      </c>
      <c r="E157" s="125" t="s">
        <v>1086</v>
      </c>
      <c r="F157" s="115"/>
      <c r="G157" s="115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24.5" customHeight="1">
      <c r="A158" s="116"/>
      <c r="B158" s="115" t="s">
        <v>1010</v>
      </c>
      <c r="C158" s="115" t="s">
        <v>1087</v>
      </c>
      <c r="D158" s="114" t="s">
        <v>1088</v>
      </c>
      <c r="E158" s="115" t="s">
        <v>1089</v>
      </c>
      <c r="F158" s="115"/>
      <c r="G158" s="115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24.5" customHeight="1">
      <c r="A159" s="116"/>
      <c r="B159" s="115" t="s">
        <v>1029</v>
      </c>
      <c r="C159" s="115" t="s">
        <v>1090</v>
      </c>
      <c r="D159" s="114" t="s">
        <v>1091</v>
      </c>
      <c r="E159" s="115" t="s">
        <v>1092</v>
      </c>
      <c r="F159" s="115"/>
      <c r="G159" s="115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24.5" customHeight="1">
      <c r="A160" s="116"/>
      <c r="B160" s="115" t="s">
        <v>1029</v>
      </c>
      <c r="C160" s="115" t="s">
        <v>1093</v>
      </c>
      <c r="D160" s="114" t="s">
        <v>1094</v>
      </c>
      <c r="E160" s="115" t="s">
        <v>1095</v>
      </c>
      <c r="F160" s="115"/>
      <c r="G160" s="115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24.5" customHeight="1">
      <c r="A161" s="116"/>
      <c r="B161" s="147" t="s">
        <v>1096</v>
      </c>
      <c r="C161" s="115" t="s">
        <v>1097</v>
      </c>
      <c r="D161" s="114" t="s">
        <v>1098</v>
      </c>
      <c r="E161" s="115" t="s">
        <v>972</v>
      </c>
      <c r="F161" s="115"/>
      <c r="G161" s="115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58.25" customHeight="1">
      <c r="A162" s="116"/>
      <c r="B162" s="115" t="s">
        <v>999</v>
      </c>
      <c r="C162" s="115" t="s">
        <v>1099</v>
      </c>
      <c r="D162" s="114" t="s">
        <v>1100</v>
      </c>
      <c r="E162" s="115" t="s">
        <v>1101</v>
      </c>
      <c r="F162" s="115"/>
      <c r="G162" s="115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24.5" customHeight="1">
      <c r="A163" s="116"/>
      <c r="B163" s="125" t="s">
        <v>1102</v>
      </c>
      <c r="C163" s="115" t="s">
        <v>1103</v>
      </c>
      <c r="D163" s="114" t="s">
        <v>1104</v>
      </c>
      <c r="E163" s="115" t="s">
        <v>972</v>
      </c>
      <c r="F163" s="115"/>
      <c r="G163" s="115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24.5" customHeight="1">
      <c r="A164" s="116"/>
      <c r="B164" s="115" t="s">
        <v>1105</v>
      </c>
      <c r="C164" s="115" t="s">
        <v>1106</v>
      </c>
      <c r="D164" s="114" t="s">
        <v>1107</v>
      </c>
      <c r="E164" s="115" t="s">
        <v>1108</v>
      </c>
      <c r="F164" s="115"/>
      <c r="G164" s="115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24.5" customHeight="1">
      <c r="A165" s="116"/>
      <c r="B165" s="115" t="s">
        <v>1109</v>
      </c>
      <c r="C165" s="115" t="s">
        <v>1110</v>
      </c>
      <c r="D165" s="114" t="s">
        <v>1111</v>
      </c>
      <c r="E165" s="115" t="s">
        <v>1112</v>
      </c>
      <c r="F165" s="115"/>
      <c r="G165" s="115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24.5" customHeight="1">
      <c r="A166" s="116"/>
      <c r="B166" s="141" t="s">
        <v>1059</v>
      </c>
      <c r="C166" s="113" t="s">
        <v>1113</v>
      </c>
      <c r="D166" s="114"/>
      <c r="E166" s="113" t="s">
        <v>1114</v>
      </c>
      <c r="F166" s="119" t="s">
        <v>1115</v>
      </c>
      <c r="G166" s="113" t="s">
        <v>1116</v>
      </c>
      <c r="H166" s="101"/>
      <c r="I166" s="103" t="s">
        <v>1117</v>
      </c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24.5" customHeight="1">
      <c r="A167" s="116"/>
      <c r="B167" s="115" t="s">
        <v>1118</v>
      </c>
      <c r="C167" s="115" t="s">
        <v>1119</v>
      </c>
      <c r="D167" s="114" t="s">
        <v>1120</v>
      </c>
      <c r="E167" s="115" t="s">
        <v>1121</v>
      </c>
      <c r="F167" s="115"/>
      <c r="G167" s="115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24.5" customHeight="1">
      <c r="A168" s="116"/>
      <c r="B168" s="131" t="s">
        <v>955</v>
      </c>
      <c r="C168" s="113" t="s">
        <v>1122</v>
      </c>
      <c r="D168" s="114"/>
      <c r="E168" s="148" t="s">
        <v>1123</v>
      </c>
      <c r="F168" s="113" t="s">
        <v>572</v>
      </c>
      <c r="G168" s="113" t="s">
        <v>1124</v>
      </c>
      <c r="H168" s="101"/>
      <c r="I168" s="103" t="s">
        <v>1125</v>
      </c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24.5" customHeight="1">
      <c r="A169" s="116"/>
      <c r="B169" s="131" t="s">
        <v>599</v>
      </c>
      <c r="C169" s="115" t="s">
        <v>635</v>
      </c>
      <c r="D169" s="114" t="s">
        <v>1126</v>
      </c>
      <c r="E169" s="125" t="s">
        <v>1127</v>
      </c>
      <c r="F169" s="115"/>
      <c r="G169" s="115"/>
      <c r="H169" s="101"/>
      <c r="I169" s="149" t="s">
        <v>1128</v>
      </c>
      <c r="J169" s="149"/>
      <c r="K169" s="150" t="s">
        <v>1129</v>
      </c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24.5" customHeight="1">
      <c r="A170" s="116"/>
      <c r="B170" s="115" t="s">
        <v>720</v>
      </c>
      <c r="C170" s="115" t="s">
        <v>1130</v>
      </c>
      <c r="D170" s="114" t="s">
        <v>1131</v>
      </c>
      <c r="E170" s="115" t="s">
        <v>1024</v>
      </c>
      <c r="F170" s="115"/>
      <c r="G170" s="115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24.5" customHeight="1">
      <c r="A171" s="116"/>
      <c r="B171" s="141" t="s">
        <v>592</v>
      </c>
      <c r="C171" s="113" t="s">
        <v>1132</v>
      </c>
      <c r="D171" s="114"/>
      <c r="E171" s="131" t="s">
        <v>972</v>
      </c>
      <c r="F171" s="151"/>
      <c r="G171" s="103"/>
      <c r="H171" s="103"/>
      <c r="I171" s="27"/>
      <c r="J171" s="27"/>
      <c r="K171" s="103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24.5" customHeight="1">
      <c r="A172" s="116"/>
      <c r="B172" s="115" t="s">
        <v>1133</v>
      </c>
      <c r="C172" s="115" t="s">
        <v>1134</v>
      </c>
      <c r="D172" s="114" t="s">
        <v>1135</v>
      </c>
      <c r="E172" s="115" t="s">
        <v>1136</v>
      </c>
      <c r="F172" s="115"/>
      <c r="G172" s="115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24.5" customHeight="1">
      <c r="A173" s="116"/>
      <c r="B173" s="115" t="s">
        <v>1137</v>
      </c>
      <c r="C173" s="115" t="s">
        <v>1138</v>
      </c>
      <c r="D173" s="114" t="s">
        <v>1139</v>
      </c>
      <c r="E173" s="115" t="s">
        <v>1140</v>
      </c>
      <c r="F173" s="115"/>
      <c r="G173" s="115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24.5" customHeight="1">
      <c r="A174" s="116"/>
      <c r="B174" s="147" t="s">
        <v>1141</v>
      </c>
      <c r="C174" s="115" t="s">
        <v>1142</v>
      </c>
      <c r="D174" s="114" t="s">
        <v>1143</v>
      </c>
      <c r="E174" s="115" t="s">
        <v>1024</v>
      </c>
      <c r="F174" s="115"/>
      <c r="G174" s="115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24.5" customHeight="1">
      <c r="A175" s="116"/>
      <c r="B175" s="115" t="s">
        <v>1144</v>
      </c>
      <c r="C175" s="115" t="s">
        <v>1145</v>
      </c>
      <c r="D175" s="114" t="s">
        <v>1146</v>
      </c>
      <c r="E175" s="113" t="s">
        <v>1147</v>
      </c>
      <c r="F175" s="115"/>
      <c r="G175" s="115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24.5" customHeight="1">
      <c r="A176" s="116"/>
      <c r="B176" s="115" t="s">
        <v>1148</v>
      </c>
      <c r="C176" s="113" t="s">
        <v>1149</v>
      </c>
      <c r="D176" s="114" t="s">
        <v>1150</v>
      </c>
      <c r="E176" s="115" t="s">
        <v>1151</v>
      </c>
      <c r="F176" s="113"/>
      <c r="G176" s="113"/>
      <c r="H176" s="101"/>
      <c r="I176" s="103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24.5" customHeight="1">
      <c r="A177" s="116"/>
      <c r="B177" s="115" t="s">
        <v>1152</v>
      </c>
      <c r="C177" s="113" t="s">
        <v>1153</v>
      </c>
      <c r="D177" s="114" t="s">
        <v>1154</v>
      </c>
      <c r="E177" s="113" t="s">
        <v>1155</v>
      </c>
      <c r="F177" s="115"/>
      <c r="G177" s="115"/>
      <c r="H177" s="101" t="s">
        <v>936</v>
      </c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24.5" customHeight="1">
      <c r="A178" s="116"/>
      <c r="B178" s="131" t="s">
        <v>1156</v>
      </c>
      <c r="C178" s="113" t="s">
        <v>1157</v>
      </c>
      <c r="D178" s="114"/>
      <c r="E178" s="113" t="s">
        <v>1158</v>
      </c>
      <c r="F178" s="119" t="s">
        <v>582</v>
      </c>
      <c r="G178" s="103" t="s">
        <v>1159</v>
      </c>
      <c r="H178" s="103"/>
      <c r="I178" s="28" t="s">
        <v>1160</v>
      </c>
      <c r="J178" s="69" t="s">
        <v>1161</v>
      </c>
      <c r="K178" s="103" t="s">
        <v>1162</v>
      </c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24.5" customHeight="1">
      <c r="A179" s="116"/>
      <c r="B179" s="131" t="s">
        <v>1163</v>
      </c>
      <c r="C179" s="119" t="s">
        <v>1157</v>
      </c>
      <c r="D179" s="114"/>
      <c r="E179" s="113" t="s">
        <v>1164</v>
      </c>
      <c r="F179" s="103" t="s">
        <v>582</v>
      </c>
      <c r="G179" s="103" t="s">
        <v>1165</v>
      </c>
      <c r="H179" s="103"/>
      <c r="I179" s="27" t="s">
        <v>1166</v>
      </c>
      <c r="J179" s="27"/>
      <c r="K179" s="152" t="s">
        <v>1167</v>
      </c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24.5" customHeight="1">
      <c r="A180" s="116"/>
      <c r="B180" s="115" t="s">
        <v>1168</v>
      </c>
      <c r="C180" s="115" t="s">
        <v>1169</v>
      </c>
      <c r="D180" s="114" t="s">
        <v>1170</v>
      </c>
      <c r="E180" s="115" t="s">
        <v>1171</v>
      </c>
      <c r="F180" s="115"/>
      <c r="G180" s="115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24.5" customHeight="1">
      <c r="A181" s="116"/>
      <c r="B181" s="131" t="s">
        <v>599</v>
      </c>
      <c r="C181" s="113" t="s">
        <v>1172</v>
      </c>
      <c r="D181" s="114"/>
      <c r="E181" s="113" t="s">
        <v>1173</v>
      </c>
      <c r="F181" s="103" t="s">
        <v>1174</v>
      </c>
      <c r="G181" s="103" t="s">
        <v>1175</v>
      </c>
      <c r="H181" s="103"/>
      <c r="I181" s="27"/>
      <c r="J181" s="27"/>
      <c r="K181" s="103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24.5" customHeight="1">
      <c r="A182" s="116"/>
      <c r="B182" s="147" t="s">
        <v>1176</v>
      </c>
      <c r="C182" s="115" t="s">
        <v>1177</v>
      </c>
      <c r="D182" s="114" t="s">
        <v>1178</v>
      </c>
      <c r="E182" s="115" t="s">
        <v>1179</v>
      </c>
      <c r="F182" s="115"/>
      <c r="G182" s="115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24.5" customHeight="1">
      <c r="A183" s="116"/>
      <c r="B183" s="131" t="s">
        <v>1180</v>
      </c>
      <c r="C183" s="113" t="s">
        <v>1181</v>
      </c>
      <c r="D183" s="114"/>
      <c r="E183" s="113" t="s">
        <v>1182</v>
      </c>
      <c r="F183" s="103" t="s">
        <v>1183</v>
      </c>
      <c r="G183" s="103" t="s">
        <v>1184</v>
      </c>
      <c r="H183" s="103"/>
      <c r="I183" s="27"/>
      <c r="J183" s="27"/>
      <c r="K183" s="152" t="s">
        <v>1185</v>
      </c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24.5" customHeight="1">
      <c r="A184" s="121"/>
      <c r="B184" s="146" t="s">
        <v>1118</v>
      </c>
      <c r="C184" s="115" t="s">
        <v>1186</v>
      </c>
      <c r="D184" s="114" t="s">
        <v>1187</v>
      </c>
      <c r="E184" s="115" t="s">
        <v>1188</v>
      </c>
      <c r="F184" s="115"/>
      <c r="G184" s="115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24.5" customHeight="1">
      <c r="A185" s="116"/>
      <c r="B185" s="115" t="s">
        <v>1189</v>
      </c>
      <c r="C185" s="115" t="s">
        <v>1190</v>
      </c>
      <c r="D185" s="114" t="s">
        <v>1191</v>
      </c>
      <c r="E185" s="115" t="s">
        <v>1140</v>
      </c>
      <c r="F185" s="115"/>
      <c r="G185" s="115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24.5" customHeight="1">
      <c r="A186" s="116"/>
      <c r="B186" s="147" t="s">
        <v>1192</v>
      </c>
      <c r="C186" s="113" t="s">
        <v>1193</v>
      </c>
      <c r="D186" s="114" t="s">
        <v>1194</v>
      </c>
      <c r="E186" s="115" t="s">
        <v>972</v>
      </c>
      <c r="F186" s="115"/>
      <c r="G186" s="115"/>
      <c r="H186" s="101"/>
      <c r="I186" s="109"/>
      <c r="J186" s="153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24.5" customHeight="1">
      <c r="A187" s="116"/>
      <c r="B187" s="147" t="s">
        <v>1195</v>
      </c>
      <c r="C187" s="113" t="s">
        <v>1196</v>
      </c>
      <c r="D187" s="114" t="s">
        <v>1197</v>
      </c>
      <c r="E187" s="115" t="s">
        <v>972</v>
      </c>
      <c r="F187" s="115"/>
      <c r="G187" s="115"/>
      <c r="H187" s="109"/>
      <c r="I187" s="109"/>
      <c r="J187" s="109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24.5" customHeight="1">
      <c r="A188" s="116"/>
      <c r="B188" s="115" t="s">
        <v>1198</v>
      </c>
      <c r="C188" s="115" t="s">
        <v>1199</v>
      </c>
      <c r="D188" s="114" t="s">
        <v>1200</v>
      </c>
      <c r="E188" s="115" t="s">
        <v>1140</v>
      </c>
      <c r="F188" s="115"/>
      <c r="G188" s="115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24.5" customHeight="1">
      <c r="A189" s="116"/>
      <c r="B189" s="115" t="s">
        <v>1201</v>
      </c>
      <c r="C189" s="115" t="s">
        <v>1202</v>
      </c>
      <c r="D189" s="114" t="s">
        <v>1203</v>
      </c>
      <c r="E189" s="115" t="s">
        <v>1204</v>
      </c>
      <c r="F189" s="115"/>
      <c r="G189" s="115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24.5" customHeight="1">
      <c r="A190" s="116"/>
      <c r="B190" s="115" t="s">
        <v>1205</v>
      </c>
      <c r="C190" s="115" t="s">
        <v>1206</v>
      </c>
      <c r="D190" s="114" t="s">
        <v>1207</v>
      </c>
      <c r="E190" s="115" t="s">
        <v>1208</v>
      </c>
      <c r="F190" s="115"/>
      <c r="G190" s="115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24.5" customHeight="1">
      <c r="A191" s="116"/>
      <c r="B191" s="131" t="s">
        <v>1209</v>
      </c>
      <c r="C191" s="113" t="s">
        <v>1210</v>
      </c>
      <c r="D191" s="114"/>
      <c r="E191" s="113" t="s">
        <v>972</v>
      </c>
      <c r="F191" s="113" t="s">
        <v>874</v>
      </c>
      <c r="G191" s="113" t="s">
        <v>1211</v>
      </c>
      <c r="H191" s="103"/>
      <c r="I191" s="103" t="s">
        <v>1212</v>
      </c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24.5" customHeight="1">
      <c r="A192" s="116"/>
      <c r="B192" s="115" t="s">
        <v>1213</v>
      </c>
      <c r="C192" s="125" t="s">
        <v>1214</v>
      </c>
      <c r="D192" s="114" t="s">
        <v>1215</v>
      </c>
      <c r="E192" s="115" t="s">
        <v>1216</v>
      </c>
      <c r="F192" s="113"/>
      <c r="G192" s="113"/>
      <c r="H192" s="103"/>
      <c r="I192" s="103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24.5" customHeight="1">
      <c r="A193" s="116"/>
      <c r="B193" s="131" t="s">
        <v>1156</v>
      </c>
      <c r="C193" s="113" t="s">
        <v>1217</v>
      </c>
      <c r="D193" s="114"/>
      <c r="E193" s="113" t="s">
        <v>1218</v>
      </c>
      <c r="F193" s="103" t="s">
        <v>595</v>
      </c>
      <c r="G193" s="103" t="s">
        <v>1219</v>
      </c>
      <c r="H193" s="103"/>
      <c r="I193" s="27"/>
      <c r="J193" s="27"/>
      <c r="K193" s="103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24.5" customHeight="1">
      <c r="A194" s="116"/>
      <c r="B194" s="131" t="s">
        <v>592</v>
      </c>
      <c r="C194" s="119" t="s">
        <v>1217</v>
      </c>
      <c r="D194" s="114"/>
      <c r="E194" s="113" t="s">
        <v>1218</v>
      </c>
      <c r="F194" s="103" t="s">
        <v>582</v>
      </c>
      <c r="G194" s="103" t="s">
        <v>803</v>
      </c>
      <c r="H194" s="103"/>
      <c r="I194" s="27"/>
      <c r="J194" s="27"/>
      <c r="K194" s="103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24.5" customHeight="1">
      <c r="A195" s="116"/>
      <c r="B195" s="154" t="s">
        <v>1220</v>
      </c>
      <c r="C195" s="115" t="s">
        <v>1221</v>
      </c>
      <c r="D195" s="114" t="s">
        <v>1222</v>
      </c>
      <c r="E195" s="115" t="s">
        <v>1223</v>
      </c>
      <c r="F195" s="113" t="s">
        <v>572</v>
      </c>
      <c r="G195" s="113" t="s">
        <v>1124</v>
      </c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24.5" customHeight="1">
      <c r="A196" s="116"/>
      <c r="B196" s="115" t="s">
        <v>1224</v>
      </c>
      <c r="C196" s="125" t="s">
        <v>1225</v>
      </c>
      <c r="D196" s="114" t="s">
        <v>1226</v>
      </c>
      <c r="E196" s="115" t="s">
        <v>1227</v>
      </c>
      <c r="F196" s="115"/>
      <c r="G196" s="115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24.5" customHeight="1">
      <c r="A197" s="116"/>
      <c r="B197" s="115" t="s">
        <v>1029</v>
      </c>
      <c r="C197" s="125" t="s">
        <v>1228</v>
      </c>
      <c r="D197" s="114" t="s">
        <v>1229</v>
      </c>
      <c r="E197" s="115" t="s">
        <v>1230</v>
      </c>
      <c r="F197" s="115"/>
      <c r="G197" s="115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24.5" customHeight="1">
      <c r="A198" s="116"/>
      <c r="B198" s="115" t="s">
        <v>1231</v>
      </c>
      <c r="C198" s="113" t="s">
        <v>1232</v>
      </c>
      <c r="D198" s="114" t="s">
        <v>1233</v>
      </c>
      <c r="E198" s="115" t="s">
        <v>1234</v>
      </c>
      <c r="F198" s="115"/>
      <c r="G198" s="115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24.5" customHeight="1">
      <c r="A199" s="116"/>
      <c r="B199" s="155" t="s">
        <v>1235</v>
      </c>
      <c r="C199" s="115" t="s">
        <v>1236</v>
      </c>
      <c r="D199" s="114" t="s">
        <v>1237</v>
      </c>
      <c r="E199" s="115" t="s">
        <v>1238</v>
      </c>
      <c r="F199" s="115"/>
      <c r="G199" s="115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24.5" customHeight="1">
      <c r="A200" s="116"/>
      <c r="B200" s="155" t="s">
        <v>599</v>
      </c>
      <c r="C200" s="113" t="s">
        <v>1239</v>
      </c>
      <c r="D200" s="114" t="s">
        <v>1240</v>
      </c>
      <c r="E200" s="115" t="s">
        <v>1241</v>
      </c>
      <c r="F200" s="115"/>
      <c r="G200" s="115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24.5" customHeight="1">
      <c r="A201" s="116"/>
      <c r="B201" s="155" t="s">
        <v>1242</v>
      </c>
      <c r="C201" s="115" t="s">
        <v>1243</v>
      </c>
      <c r="D201" s="114" t="s">
        <v>1244</v>
      </c>
      <c r="E201" s="115" t="s">
        <v>1140</v>
      </c>
      <c r="F201" s="115"/>
      <c r="G201" s="115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24.5" customHeight="1">
      <c r="A202" s="116"/>
      <c r="B202" s="115" t="s">
        <v>1245</v>
      </c>
      <c r="C202" s="115" t="s">
        <v>1246</v>
      </c>
      <c r="D202" s="114" t="s">
        <v>1247</v>
      </c>
      <c r="E202" s="115" t="s">
        <v>1248</v>
      </c>
      <c r="F202" s="115"/>
      <c r="G202" s="115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24.5" customHeight="1">
      <c r="A203" s="116"/>
      <c r="B203" s="115" t="s">
        <v>1118</v>
      </c>
      <c r="C203" s="115" t="s">
        <v>1249</v>
      </c>
      <c r="D203" s="114" t="s">
        <v>1250</v>
      </c>
      <c r="E203" s="115" t="s">
        <v>1251</v>
      </c>
      <c r="F203" s="115"/>
      <c r="G203" s="115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24.5" customHeight="1">
      <c r="A204" s="116"/>
      <c r="B204" s="147" t="s">
        <v>800</v>
      </c>
      <c r="C204" s="115" t="s">
        <v>1252</v>
      </c>
      <c r="D204" s="114" t="s">
        <v>1253</v>
      </c>
      <c r="E204" s="115" t="s">
        <v>1179</v>
      </c>
      <c r="F204" s="115"/>
      <c r="G204" s="115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24.5" customHeight="1">
      <c r="A205" s="116"/>
      <c r="B205" s="115" t="s">
        <v>1254</v>
      </c>
      <c r="C205" s="115" t="s">
        <v>1255</v>
      </c>
      <c r="D205" s="114" t="s">
        <v>1256</v>
      </c>
      <c r="E205" s="113" t="s">
        <v>1257</v>
      </c>
      <c r="F205" s="115"/>
      <c r="G205" s="115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24.5" customHeight="1">
      <c r="A206" s="116"/>
      <c r="B206" s="147" t="s">
        <v>588</v>
      </c>
      <c r="C206" s="115" t="s">
        <v>1258</v>
      </c>
      <c r="D206" s="114" t="s">
        <v>1259</v>
      </c>
      <c r="E206" s="115" t="s">
        <v>1260</v>
      </c>
      <c r="F206" s="115"/>
      <c r="G206" s="115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24.5" customHeight="1">
      <c r="A207" s="116"/>
      <c r="B207" s="131" t="s">
        <v>1156</v>
      </c>
      <c r="C207" s="113" t="s">
        <v>1261</v>
      </c>
      <c r="D207" s="114"/>
      <c r="E207" s="113" t="s">
        <v>1262</v>
      </c>
      <c r="F207" s="103" t="s">
        <v>582</v>
      </c>
      <c r="G207" s="103" t="s">
        <v>1263</v>
      </c>
      <c r="H207" s="103"/>
      <c r="I207" s="27" t="s">
        <v>1264</v>
      </c>
      <c r="J207" s="27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24.5" customHeight="1">
      <c r="A208" s="116"/>
      <c r="B208" s="115" t="s">
        <v>800</v>
      </c>
      <c r="C208" s="115" t="s">
        <v>1265</v>
      </c>
      <c r="D208" s="114" t="s">
        <v>1266</v>
      </c>
      <c r="E208" s="113" t="s">
        <v>1267</v>
      </c>
      <c r="F208" s="115"/>
      <c r="G208" s="115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24.5" customHeight="1">
      <c r="A209" s="116"/>
      <c r="B209" s="115" t="s">
        <v>1059</v>
      </c>
      <c r="C209" s="115" t="s">
        <v>1268</v>
      </c>
      <c r="D209" s="114" t="s">
        <v>1269</v>
      </c>
      <c r="E209" s="115" t="s">
        <v>1270</v>
      </c>
      <c r="F209" s="113"/>
      <c r="G209" s="113"/>
      <c r="H209" s="101"/>
      <c r="I209" s="103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24.5" customHeight="1">
      <c r="A210" s="116"/>
      <c r="B210" s="115" t="s">
        <v>1271</v>
      </c>
      <c r="C210" s="113" t="s">
        <v>1272</v>
      </c>
      <c r="D210" s="114" t="s">
        <v>1273</v>
      </c>
      <c r="E210" s="115" t="s">
        <v>1274</v>
      </c>
      <c r="F210" s="115"/>
      <c r="G210" s="115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24.5" customHeight="1">
      <c r="A211" s="116"/>
      <c r="B211" s="131" t="s">
        <v>1067</v>
      </c>
      <c r="C211" s="113" t="s">
        <v>1275</v>
      </c>
      <c r="D211" s="114"/>
      <c r="E211" s="125" t="s">
        <v>1276</v>
      </c>
      <c r="F211" s="113" t="s">
        <v>1277</v>
      </c>
      <c r="G211" s="113" t="s">
        <v>1278</v>
      </c>
      <c r="H211" s="101"/>
      <c r="I211" s="103" t="s">
        <v>1279</v>
      </c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24.5" customHeight="1">
      <c r="A212" s="116"/>
      <c r="B212" s="115" t="s">
        <v>1280</v>
      </c>
      <c r="C212" s="115" t="s">
        <v>1281</v>
      </c>
      <c r="D212" s="114" t="s">
        <v>1282</v>
      </c>
      <c r="E212" s="115" t="s">
        <v>1283</v>
      </c>
      <c r="F212" s="115"/>
      <c r="G212" s="115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24.5" customHeight="1">
      <c r="A213" s="116"/>
      <c r="B213" s="131" t="s">
        <v>599</v>
      </c>
      <c r="C213" s="113" t="s">
        <v>1284</v>
      </c>
      <c r="D213" s="114" t="s">
        <v>1285</v>
      </c>
      <c r="E213" s="113" t="s">
        <v>1286</v>
      </c>
      <c r="F213" s="113" t="s">
        <v>572</v>
      </c>
      <c r="G213" s="115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24.5" customHeight="1">
      <c r="A214" s="116"/>
      <c r="B214" s="115" t="s">
        <v>1287</v>
      </c>
      <c r="C214" s="115" t="s">
        <v>1288</v>
      </c>
      <c r="D214" s="114" t="s">
        <v>1289</v>
      </c>
      <c r="E214" s="115" t="s">
        <v>1290</v>
      </c>
      <c r="F214" s="115"/>
      <c r="G214" s="115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24.5" customHeight="1">
      <c r="A215" s="116"/>
      <c r="B215" s="131" t="s">
        <v>955</v>
      </c>
      <c r="C215" s="113" t="s">
        <v>1291</v>
      </c>
      <c r="D215" s="114"/>
      <c r="E215" s="113" t="s">
        <v>1292</v>
      </c>
      <c r="F215" s="103" t="s">
        <v>1293</v>
      </c>
      <c r="G215" s="103" t="s">
        <v>1294</v>
      </c>
      <c r="H215" s="103"/>
      <c r="I215" s="27" t="s">
        <v>1295</v>
      </c>
      <c r="J215" s="27"/>
      <c r="K215" s="103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24.5" customHeight="1">
      <c r="A216" s="116"/>
      <c r="B216" s="115" t="s">
        <v>1296</v>
      </c>
      <c r="C216" s="115" t="s">
        <v>1297</v>
      </c>
      <c r="D216" s="114" t="s">
        <v>1298</v>
      </c>
      <c r="E216" s="115" t="s">
        <v>1299</v>
      </c>
      <c r="F216" s="115"/>
      <c r="G216" s="115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24.5" customHeight="1">
      <c r="A217" s="116"/>
      <c r="B217" s="113" t="s">
        <v>800</v>
      </c>
      <c r="C217" s="115" t="s">
        <v>1300</v>
      </c>
      <c r="D217" s="114" t="s">
        <v>1301</v>
      </c>
      <c r="E217" s="113" t="s">
        <v>1267</v>
      </c>
      <c r="F217" s="115"/>
      <c r="G217" s="115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24.5" customHeight="1">
      <c r="A218" s="116"/>
      <c r="B218" s="147" t="s">
        <v>1302</v>
      </c>
      <c r="C218" s="115" t="s">
        <v>1300</v>
      </c>
      <c r="D218" s="114" t="s">
        <v>1303</v>
      </c>
      <c r="E218" s="115" t="s">
        <v>1304</v>
      </c>
      <c r="F218" s="115"/>
      <c r="G218" s="115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24.5" customHeight="1">
      <c r="A219" s="116"/>
      <c r="B219" s="115" t="s">
        <v>588</v>
      </c>
      <c r="C219" s="115" t="s">
        <v>1305</v>
      </c>
      <c r="D219" s="114" t="s">
        <v>1306</v>
      </c>
      <c r="E219" s="115" t="s">
        <v>1307</v>
      </c>
      <c r="F219" s="115"/>
      <c r="G219" s="115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24.5" customHeight="1">
      <c r="A220" s="116"/>
      <c r="B220" s="131" t="s">
        <v>1308</v>
      </c>
      <c r="C220" s="113" t="s">
        <v>1309</v>
      </c>
      <c r="D220" s="114"/>
      <c r="E220" s="113" t="s">
        <v>1310</v>
      </c>
      <c r="F220" s="103" t="s">
        <v>648</v>
      </c>
      <c r="G220" s="103" t="s">
        <v>1311</v>
      </c>
      <c r="H220" s="103"/>
      <c r="I220" s="27" t="s">
        <v>1312</v>
      </c>
      <c r="J220" s="27"/>
      <c r="K220" s="103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24.5" customHeight="1">
      <c r="A221" s="116"/>
      <c r="B221" s="156" t="s">
        <v>1144</v>
      </c>
      <c r="C221" s="115" t="s">
        <v>1313</v>
      </c>
      <c r="D221" s="114" t="s">
        <v>1314</v>
      </c>
      <c r="E221" s="115" t="s">
        <v>972</v>
      </c>
      <c r="F221" s="115"/>
      <c r="G221" s="115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24.5" customHeight="1">
      <c r="A222" s="116"/>
      <c r="B222" s="147" t="s">
        <v>1315</v>
      </c>
      <c r="C222" s="113" t="s">
        <v>1316</v>
      </c>
      <c r="D222" s="114" t="s">
        <v>1317</v>
      </c>
      <c r="E222" s="157" t="s">
        <v>1318</v>
      </c>
      <c r="F222" s="115"/>
      <c r="G222" s="115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24.5" customHeight="1">
      <c r="A223" s="116"/>
      <c r="B223" s="115" t="s">
        <v>1319</v>
      </c>
      <c r="C223" s="115" t="s">
        <v>1320</v>
      </c>
      <c r="D223" s="114" t="s">
        <v>1321</v>
      </c>
      <c r="E223" s="115" t="s">
        <v>1322</v>
      </c>
      <c r="F223" s="115"/>
      <c r="G223" s="115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24.5" customHeight="1">
      <c r="A224" s="121"/>
      <c r="B224" s="146" t="s">
        <v>1323</v>
      </c>
      <c r="C224" s="115" t="s">
        <v>1324</v>
      </c>
      <c r="D224" s="114" t="s">
        <v>1325</v>
      </c>
      <c r="E224" s="115" t="s">
        <v>1326</v>
      </c>
      <c r="F224" s="115"/>
      <c r="G224" s="115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24.5" customHeight="1">
      <c r="A225" s="121"/>
      <c r="B225" s="115" t="s">
        <v>599</v>
      </c>
      <c r="C225" s="115" t="s">
        <v>1327</v>
      </c>
      <c r="D225" s="114" t="s">
        <v>1328</v>
      </c>
      <c r="E225" s="115" t="s">
        <v>1329</v>
      </c>
      <c r="F225" s="115"/>
      <c r="G225" s="115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24.5" customHeight="1">
      <c r="A226" s="121"/>
      <c r="B226" s="115" t="s">
        <v>1319</v>
      </c>
      <c r="C226" s="115" t="s">
        <v>1330</v>
      </c>
      <c r="D226" s="114" t="s">
        <v>1331</v>
      </c>
      <c r="E226" s="115" t="s">
        <v>1332</v>
      </c>
      <c r="F226" s="115"/>
      <c r="G226" s="115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24.5" customHeight="1">
      <c r="A227" s="121"/>
      <c r="B227" s="115" t="s">
        <v>1333</v>
      </c>
      <c r="C227" s="115" t="s">
        <v>1334</v>
      </c>
      <c r="D227" s="114" t="s">
        <v>1335</v>
      </c>
      <c r="E227" s="115" t="s">
        <v>972</v>
      </c>
      <c r="F227" s="113"/>
      <c r="G227" s="113"/>
      <c r="H227" s="101"/>
      <c r="I227" s="103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24.5" customHeight="1">
      <c r="A228" s="116"/>
      <c r="B228" s="115" t="s">
        <v>720</v>
      </c>
      <c r="C228" s="115" t="s">
        <v>1336</v>
      </c>
      <c r="D228" s="114" t="s">
        <v>1337</v>
      </c>
      <c r="E228" s="115" t="s">
        <v>1338</v>
      </c>
      <c r="F228" s="115"/>
      <c r="G228" s="115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24.5" customHeight="1">
      <c r="A229" s="116"/>
      <c r="B229" s="115" t="s">
        <v>1213</v>
      </c>
      <c r="C229" s="125" t="s">
        <v>1339</v>
      </c>
      <c r="D229" s="114" t="s">
        <v>1340</v>
      </c>
      <c r="E229" s="113" t="s">
        <v>1341</v>
      </c>
      <c r="F229" s="113"/>
      <c r="G229" s="113"/>
      <c r="H229" s="103"/>
      <c r="I229" s="103"/>
      <c r="J229" s="103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24.5" customHeight="1">
      <c r="A230" s="116"/>
      <c r="B230" s="115" t="s">
        <v>599</v>
      </c>
      <c r="C230" s="115" t="s">
        <v>1342</v>
      </c>
      <c r="D230" s="114" t="s">
        <v>1343</v>
      </c>
      <c r="E230" s="115" t="s">
        <v>1344</v>
      </c>
      <c r="F230" s="115"/>
      <c r="G230" s="115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24.5" customHeight="1">
      <c r="A231" s="116"/>
      <c r="B231" s="115" t="s">
        <v>1213</v>
      </c>
      <c r="C231" s="125" t="s">
        <v>1345</v>
      </c>
      <c r="D231" s="114" t="s">
        <v>1346</v>
      </c>
      <c r="E231" s="115" t="s">
        <v>1347</v>
      </c>
      <c r="F231" s="113"/>
      <c r="G231" s="113"/>
      <c r="H231" s="101"/>
      <c r="I231" s="103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24.5" customHeight="1">
      <c r="A232" s="116"/>
      <c r="B232" s="115" t="s">
        <v>1348</v>
      </c>
      <c r="C232" s="115" t="s">
        <v>960</v>
      </c>
      <c r="D232" s="114" t="s">
        <v>1349</v>
      </c>
      <c r="E232" s="115" t="s">
        <v>1350</v>
      </c>
      <c r="F232" s="115"/>
      <c r="G232" s="115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24.5" customHeight="1">
      <c r="A233" s="116"/>
      <c r="B233" s="115" t="s">
        <v>1351</v>
      </c>
      <c r="C233" s="115" t="s">
        <v>1352</v>
      </c>
      <c r="D233" s="114" t="s">
        <v>1353</v>
      </c>
      <c r="E233" s="115" t="s">
        <v>1354</v>
      </c>
      <c r="F233" s="115"/>
      <c r="G233" s="115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24.5" customHeight="1">
      <c r="A234" s="116"/>
      <c r="B234" s="131" t="s">
        <v>1059</v>
      </c>
      <c r="C234" s="113" t="s">
        <v>1355</v>
      </c>
      <c r="D234" s="114"/>
      <c r="E234" s="113" t="s">
        <v>1356</v>
      </c>
      <c r="F234" s="103" t="s">
        <v>595</v>
      </c>
      <c r="G234" s="103" t="s">
        <v>1357</v>
      </c>
      <c r="H234" s="103"/>
      <c r="I234" s="27" t="s">
        <v>1358</v>
      </c>
      <c r="J234" s="27" t="s">
        <v>1359</v>
      </c>
      <c r="K234" s="103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24.5" customHeight="1">
      <c r="A235" s="116"/>
      <c r="B235" s="147" t="s">
        <v>999</v>
      </c>
      <c r="C235" s="115" t="s">
        <v>1360</v>
      </c>
      <c r="D235" s="114" t="s">
        <v>1361</v>
      </c>
      <c r="E235" s="115" t="s">
        <v>1362</v>
      </c>
      <c r="F235" s="115"/>
      <c r="G235" s="115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24.5" customHeight="1">
      <c r="A236" s="116"/>
      <c r="B236" s="115" t="s">
        <v>1363</v>
      </c>
      <c r="C236" s="115" t="s">
        <v>1364</v>
      </c>
      <c r="D236" s="114" t="s">
        <v>1365</v>
      </c>
      <c r="E236" s="115" t="s">
        <v>1366</v>
      </c>
      <c r="F236" s="115"/>
      <c r="G236" s="115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24.5" customHeight="1">
      <c r="A237" s="116"/>
      <c r="B237" s="131" t="s">
        <v>1059</v>
      </c>
      <c r="C237" s="113" t="s">
        <v>1367</v>
      </c>
      <c r="D237" s="114"/>
      <c r="E237" s="113" t="s">
        <v>1368</v>
      </c>
      <c r="F237" s="119" t="s">
        <v>1369</v>
      </c>
      <c r="G237" s="113" t="s">
        <v>1370</v>
      </c>
      <c r="H237" s="103" t="s">
        <v>1371</v>
      </c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24.5" customHeight="1">
      <c r="A238" s="116"/>
      <c r="B238" s="147" t="s">
        <v>1372</v>
      </c>
      <c r="C238" s="113" t="s">
        <v>1373</v>
      </c>
      <c r="D238" s="114" t="s">
        <v>1374</v>
      </c>
      <c r="E238" s="115" t="s">
        <v>1375</v>
      </c>
      <c r="F238" s="115"/>
      <c r="G238" s="115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24.5" customHeight="1">
      <c r="A239" s="116"/>
      <c r="B239" s="115" t="s">
        <v>1376</v>
      </c>
      <c r="C239" s="115" t="s">
        <v>1377</v>
      </c>
      <c r="D239" s="114" t="s">
        <v>1378</v>
      </c>
      <c r="E239" s="115" t="s">
        <v>1379</v>
      </c>
      <c r="F239" s="115"/>
      <c r="G239" s="115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24.5" customHeight="1">
      <c r="A240" s="116"/>
      <c r="B240" s="115" t="s">
        <v>588</v>
      </c>
      <c r="C240" s="115" t="s">
        <v>1380</v>
      </c>
      <c r="D240" s="114" t="s">
        <v>1381</v>
      </c>
      <c r="E240" s="115" t="s">
        <v>1382</v>
      </c>
      <c r="F240" s="115"/>
      <c r="G240" s="115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24.5" customHeight="1">
      <c r="A241" s="116"/>
      <c r="B241" s="131" t="s">
        <v>673</v>
      </c>
      <c r="C241" s="113" t="s">
        <v>1383</v>
      </c>
      <c r="D241" s="114"/>
      <c r="E241" s="113" t="s">
        <v>1384</v>
      </c>
      <c r="F241" s="103" t="s">
        <v>582</v>
      </c>
      <c r="G241" s="103" t="s">
        <v>1385</v>
      </c>
      <c r="H241" s="103"/>
      <c r="I241" s="27"/>
      <c r="J241" s="27"/>
      <c r="K241" s="103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24.5" customHeight="1">
      <c r="A242" s="116"/>
      <c r="B242" s="147" t="s">
        <v>1096</v>
      </c>
      <c r="C242" s="115" t="s">
        <v>1386</v>
      </c>
      <c r="D242" s="114" t="s">
        <v>1387</v>
      </c>
      <c r="E242" s="115" t="s">
        <v>1388</v>
      </c>
      <c r="F242" s="115"/>
      <c r="G242" s="115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24.5" customHeight="1">
      <c r="A243" s="116"/>
      <c r="B243" s="115" t="s">
        <v>1389</v>
      </c>
      <c r="C243" s="115" t="s">
        <v>1390</v>
      </c>
      <c r="D243" s="114" t="s">
        <v>1391</v>
      </c>
      <c r="E243" s="115" t="s">
        <v>1392</v>
      </c>
      <c r="F243" s="113"/>
      <c r="G243" s="113"/>
      <c r="H243" s="103"/>
      <c r="I243" s="103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24.5" customHeight="1">
      <c r="A244" s="116"/>
      <c r="B244" s="115" t="s">
        <v>1224</v>
      </c>
      <c r="C244" s="113" t="s">
        <v>1393</v>
      </c>
      <c r="D244" s="114" t="s">
        <v>1394</v>
      </c>
      <c r="E244" s="115" t="s">
        <v>1395</v>
      </c>
      <c r="F244" s="113"/>
      <c r="G244" s="113"/>
      <c r="H244" s="101"/>
      <c r="I244" s="103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24.5" customHeight="1">
      <c r="A245" s="116"/>
      <c r="B245" s="141" t="s">
        <v>1396</v>
      </c>
      <c r="C245" s="113" t="s">
        <v>1397</v>
      </c>
      <c r="D245" s="114"/>
      <c r="E245" s="125" t="s">
        <v>1398</v>
      </c>
      <c r="F245" s="113" t="s">
        <v>582</v>
      </c>
      <c r="G245" s="113" t="s">
        <v>1399</v>
      </c>
      <c r="H245" s="101"/>
      <c r="I245" s="101"/>
      <c r="J245" s="101"/>
      <c r="K245" s="153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24.5" customHeight="1">
      <c r="A246" s="116"/>
      <c r="B246" s="115" t="s">
        <v>1400</v>
      </c>
      <c r="C246" s="115" t="s">
        <v>1401</v>
      </c>
      <c r="D246" s="114" t="s">
        <v>1402</v>
      </c>
      <c r="E246" s="115" t="s">
        <v>1403</v>
      </c>
      <c r="F246" s="115"/>
      <c r="G246" s="115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24.5" customHeight="1">
      <c r="A247" s="116"/>
      <c r="B247" s="115" t="s">
        <v>1404</v>
      </c>
      <c r="C247" s="115" t="s">
        <v>1405</v>
      </c>
      <c r="D247" s="114" t="s">
        <v>1406</v>
      </c>
      <c r="E247" s="115" t="s">
        <v>1407</v>
      </c>
      <c r="F247" s="115"/>
      <c r="G247" s="115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24.5" customHeight="1">
      <c r="A248" s="116"/>
      <c r="B248" s="115" t="s">
        <v>1319</v>
      </c>
      <c r="C248" s="115" t="s">
        <v>1408</v>
      </c>
      <c r="D248" s="114" t="s">
        <v>1409</v>
      </c>
      <c r="E248" s="115" t="s">
        <v>1410</v>
      </c>
      <c r="F248" s="115"/>
      <c r="G248" s="115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24.5" customHeight="1">
      <c r="A249" s="116"/>
      <c r="B249" s="147" t="s">
        <v>1096</v>
      </c>
      <c r="C249" s="115" t="s">
        <v>1411</v>
      </c>
      <c r="D249" s="114" t="s">
        <v>1412</v>
      </c>
      <c r="E249" s="115" t="s">
        <v>972</v>
      </c>
      <c r="F249" s="115"/>
      <c r="G249" s="115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24.5" customHeight="1">
      <c r="A250" s="116"/>
      <c r="B250" s="115" t="s">
        <v>1413</v>
      </c>
      <c r="C250" s="115" t="s">
        <v>1414</v>
      </c>
      <c r="D250" s="114" t="s">
        <v>1415</v>
      </c>
      <c r="E250" s="115" t="s">
        <v>972</v>
      </c>
      <c r="F250" s="125"/>
      <c r="G250" s="125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24.5" customHeight="1">
      <c r="A251" s="116"/>
      <c r="B251" s="115" t="s">
        <v>1416</v>
      </c>
      <c r="C251" s="115" t="s">
        <v>1417</v>
      </c>
      <c r="D251" s="114" t="s">
        <v>1418</v>
      </c>
      <c r="E251" s="115" t="s">
        <v>1419</v>
      </c>
      <c r="F251" s="115"/>
      <c r="G251" s="115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24.5" customHeight="1">
      <c r="A252" s="116"/>
      <c r="B252" s="156" t="s">
        <v>1420</v>
      </c>
      <c r="C252" s="113" t="s">
        <v>1421</v>
      </c>
      <c r="D252" s="114" t="s">
        <v>1422</v>
      </c>
      <c r="E252" s="115" t="s">
        <v>1423</v>
      </c>
      <c r="F252" s="115"/>
      <c r="G252" s="115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24.5" customHeight="1">
      <c r="A253" s="116"/>
      <c r="B253" s="115" t="s">
        <v>599</v>
      </c>
      <c r="C253" s="115" t="s">
        <v>1424</v>
      </c>
      <c r="D253" s="114" t="s">
        <v>1425</v>
      </c>
      <c r="E253" s="115" t="s">
        <v>1426</v>
      </c>
      <c r="F253" s="115"/>
      <c r="G253" s="115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24.5" customHeight="1">
      <c r="A254" s="116"/>
      <c r="B254" s="115" t="s">
        <v>1427</v>
      </c>
      <c r="C254" s="115" t="s">
        <v>1428</v>
      </c>
      <c r="D254" s="114" t="s">
        <v>1429</v>
      </c>
      <c r="E254" s="115" t="s">
        <v>1430</v>
      </c>
      <c r="F254" s="115"/>
      <c r="G254" s="115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24.5" customHeight="1">
      <c r="A255" s="116"/>
      <c r="B255" s="115" t="s">
        <v>599</v>
      </c>
      <c r="C255" s="115" t="s">
        <v>1431</v>
      </c>
      <c r="D255" s="114" t="s">
        <v>1432</v>
      </c>
      <c r="E255" s="115" t="s">
        <v>1433</v>
      </c>
      <c r="F255" s="115"/>
      <c r="G255" s="115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24.5" customHeight="1">
      <c r="A256" s="116"/>
      <c r="B256" s="115" t="s">
        <v>1323</v>
      </c>
      <c r="C256" s="115" t="s">
        <v>1434</v>
      </c>
      <c r="D256" s="114" t="s">
        <v>1435</v>
      </c>
      <c r="E256" s="115" t="s">
        <v>1436</v>
      </c>
      <c r="F256" s="115"/>
      <c r="G256" s="115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24.5" customHeight="1">
      <c r="A257" s="116"/>
      <c r="B257" s="115" t="s">
        <v>1437</v>
      </c>
      <c r="C257" s="113" t="s">
        <v>1438</v>
      </c>
      <c r="D257" s="114" t="s">
        <v>1439</v>
      </c>
      <c r="E257" s="115" t="s">
        <v>1410</v>
      </c>
      <c r="F257" s="113"/>
      <c r="G257" s="113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24.5" customHeight="1">
      <c r="A258" s="116"/>
      <c r="B258" s="115" t="s">
        <v>1440</v>
      </c>
      <c r="C258" s="113" t="s">
        <v>1441</v>
      </c>
      <c r="D258" s="114" t="s">
        <v>1442</v>
      </c>
      <c r="E258" s="115" t="s">
        <v>1410</v>
      </c>
      <c r="F258" s="115"/>
      <c r="G258" s="115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24.5" customHeight="1">
      <c r="A259" s="116"/>
      <c r="B259" s="115" t="s">
        <v>1443</v>
      </c>
      <c r="C259" s="115" t="s">
        <v>1444</v>
      </c>
      <c r="D259" s="114" t="s">
        <v>1445</v>
      </c>
      <c r="E259" s="115" t="s">
        <v>1446</v>
      </c>
      <c r="F259" s="115"/>
      <c r="G259" s="115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24.5" customHeight="1">
      <c r="A260" s="116"/>
      <c r="B260" s="115" t="s">
        <v>1447</v>
      </c>
      <c r="C260" s="115" t="s">
        <v>1448</v>
      </c>
      <c r="D260" s="114" t="s">
        <v>1449</v>
      </c>
      <c r="E260" s="115" t="s">
        <v>1024</v>
      </c>
      <c r="F260" s="115"/>
      <c r="G260" s="115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24.5" customHeight="1">
      <c r="A261" s="116"/>
      <c r="B261" s="131" t="s">
        <v>1450</v>
      </c>
      <c r="C261" s="115" t="s">
        <v>1451</v>
      </c>
      <c r="D261" s="114" t="s">
        <v>1452</v>
      </c>
      <c r="E261" s="125" t="s">
        <v>1453</v>
      </c>
      <c r="F261" s="113" t="s">
        <v>582</v>
      </c>
      <c r="G261" s="113" t="s">
        <v>1454</v>
      </c>
      <c r="H261" s="101"/>
      <c r="I261" s="103" t="s">
        <v>1455</v>
      </c>
      <c r="J261" s="103" t="s">
        <v>1456</v>
      </c>
      <c r="K261" s="158" t="s">
        <v>1457</v>
      </c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24.5" customHeight="1">
      <c r="A262" s="116"/>
      <c r="B262" s="115" t="s">
        <v>1458</v>
      </c>
      <c r="C262" s="115" t="s">
        <v>1459</v>
      </c>
      <c r="D262" s="114" t="s">
        <v>1460</v>
      </c>
      <c r="E262" s="115" t="s">
        <v>1461</v>
      </c>
      <c r="F262" s="115"/>
      <c r="G262" s="115"/>
      <c r="H262" s="101"/>
      <c r="I262" s="101"/>
      <c r="J262" s="101"/>
      <c r="K262" s="159" t="s">
        <v>1462</v>
      </c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24.5" customHeight="1">
      <c r="A263" s="116"/>
      <c r="B263" s="131" t="s">
        <v>1323</v>
      </c>
      <c r="C263" s="115" t="s">
        <v>1463</v>
      </c>
      <c r="D263" s="160" t="s">
        <v>1464</v>
      </c>
      <c r="E263" s="161" t="s">
        <v>1465</v>
      </c>
      <c r="F263" s="113" t="s">
        <v>582</v>
      </c>
      <c r="G263" s="113" t="s">
        <v>1466</v>
      </c>
      <c r="H263" s="103"/>
      <c r="I263" s="103" t="s">
        <v>1467</v>
      </c>
      <c r="J263" s="103" t="s">
        <v>1468</v>
      </c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24.5" customHeight="1">
      <c r="A264" s="116"/>
      <c r="B264" s="141" t="s">
        <v>1156</v>
      </c>
      <c r="C264" s="113" t="s">
        <v>1469</v>
      </c>
      <c r="D264" s="114"/>
      <c r="E264" s="113" t="s">
        <v>1470</v>
      </c>
      <c r="F264" s="113" t="s">
        <v>874</v>
      </c>
      <c r="G264" s="113" t="s">
        <v>1471</v>
      </c>
      <c r="H264" s="101"/>
      <c r="I264" s="101"/>
      <c r="J264" s="103"/>
      <c r="K264" s="103" t="s">
        <v>1472</v>
      </c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24.5" customHeight="1">
      <c r="A265" s="116"/>
      <c r="B265" s="115" t="s">
        <v>588</v>
      </c>
      <c r="C265" s="115" t="s">
        <v>1473</v>
      </c>
      <c r="D265" s="114" t="s">
        <v>1474</v>
      </c>
      <c r="E265" s="115" t="s">
        <v>1475</v>
      </c>
      <c r="F265" s="115"/>
      <c r="G265" s="115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24.5" customHeight="1">
      <c r="A266" s="116"/>
      <c r="B266" s="115" t="s">
        <v>1476</v>
      </c>
      <c r="C266" s="115" t="s">
        <v>1477</v>
      </c>
      <c r="D266" s="114" t="s">
        <v>1478</v>
      </c>
      <c r="E266" s="113" t="s">
        <v>1479</v>
      </c>
      <c r="F266" s="115"/>
      <c r="G266" s="115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24.5" customHeight="1">
      <c r="A267" s="116"/>
      <c r="B267" s="141" t="s">
        <v>1480</v>
      </c>
      <c r="C267" s="113" t="s">
        <v>1481</v>
      </c>
      <c r="D267" s="114"/>
      <c r="E267" s="125" t="s">
        <v>1482</v>
      </c>
      <c r="F267" s="113" t="s">
        <v>582</v>
      </c>
      <c r="G267" s="113" t="s">
        <v>649</v>
      </c>
      <c r="H267" s="103"/>
      <c r="I267" s="103" t="s">
        <v>1483</v>
      </c>
      <c r="J267" s="103" t="s">
        <v>1484</v>
      </c>
      <c r="K267" s="109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24.5" customHeight="1">
      <c r="A268" s="116"/>
      <c r="B268" s="131" t="s">
        <v>673</v>
      </c>
      <c r="C268" s="113" t="s">
        <v>1485</v>
      </c>
      <c r="D268" s="114"/>
      <c r="E268" s="113" t="s">
        <v>972</v>
      </c>
      <c r="F268" s="103" t="s">
        <v>595</v>
      </c>
      <c r="G268" s="103" t="s">
        <v>1486</v>
      </c>
      <c r="H268" s="103"/>
      <c r="I268" s="27"/>
      <c r="J268" s="27"/>
      <c r="K268" s="103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24.5" customHeight="1">
      <c r="A269" s="116"/>
      <c r="B269" s="115" t="s">
        <v>588</v>
      </c>
      <c r="C269" s="115" t="s">
        <v>1487</v>
      </c>
      <c r="D269" s="114" t="s">
        <v>1488</v>
      </c>
      <c r="E269" s="115" t="s">
        <v>1489</v>
      </c>
      <c r="F269" s="115"/>
      <c r="G269" s="115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24.5" customHeight="1">
      <c r="A270" s="116"/>
      <c r="B270" s="157" t="s">
        <v>1490</v>
      </c>
      <c r="C270" s="125" t="s">
        <v>1491</v>
      </c>
      <c r="D270" s="114" t="s">
        <v>1492</v>
      </c>
      <c r="E270" s="115" t="s">
        <v>972</v>
      </c>
      <c r="F270" s="115"/>
      <c r="G270" s="115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24.5" customHeight="1">
      <c r="A271" s="116"/>
      <c r="B271" s="147" t="s">
        <v>1440</v>
      </c>
      <c r="C271" s="115" t="s">
        <v>1493</v>
      </c>
      <c r="D271" s="114" t="s">
        <v>1494</v>
      </c>
      <c r="E271" s="115" t="s">
        <v>972</v>
      </c>
      <c r="F271" s="115"/>
      <c r="G271" s="115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24.5" customHeight="1">
      <c r="A272" s="116"/>
      <c r="B272" s="131" t="s">
        <v>1010</v>
      </c>
      <c r="C272" s="113" t="s">
        <v>947</v>
      </c>
      <c r="D272" s="114"/>
      <c r="E272" s="113" t="s">
        <v>1495</v>
      </c>
      <c r="F272" s="103" t="s">
        <v>582</v>
      </c>
      <c r="G272" s="103" t="s">
        <v>833</v>
      </c>
      <c r="H272" s="103"/>
      <c r="I272" s="27"/>
      <c r="J272" s="27"/>
      <c r="K272" s="103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24.5" customHeight="1">
      <c r="A273" s="116"/>
      <c r="B273" s="115" t="s">
        <v>1029</v>
      </c>
      <c r="C273" s="115" t="s">
        <v>1496</v>
      </c>
      <c r="D273" s="114" t="s">
        <v>1497</v>
      </c>
      <c r="E273" s="115" t="s">
        <v>1498</v>
      </c>
      <c r="F273" s="115"/>
      <c r="G273" s="115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24.5" customHeight="1">
      <c r="A274" s="116"/>
      <c r="B274" s="115" t="s">
        <v>1224</v>
      </c>
      <c r="C274" s="113" t="s">
        <v>1499</v>
      </c>
      <c r="D274" s="114" t="s">
        <v>1500</v>
      </c>
      <c r="E274" s="115" t="s">
        <v>1501</v>
      </c>
      <c r="F274" s="113"/>
      <c r="G274" s="113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24.5" customHeight="1">
      <c r="A275" s="116"/>
      <c r="B275" s="115" t="s">
        <v>955</v>
      </c>
      <c r="C275" s="162" t="s">
        <v>1502</v>
      </c>
      <c r="D275" s="114" t="s">
        <v>1503</v>
      </c>
      <c r="E275" s="115" t="s">
        <v>1504</v>
      </c>
      <c r="F275" s="115"/>
      <c r="G275" s="115"/>
      <c r="H275" s="101"/>
      <c r="I275" s="101"/>
      <c r="J275" s="101"/>
      <c r="K275" s="103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24.5" customHeight="1">
      <c r="A276" s="116"/>
      <c r="B276" s="131" t="s">
        <v>1067</v>
      </c>
      <c r="C276" s="113" t="s">
        <v>1505</v>
      </c>
      <c r="D276" s="114"/>
      <c r="E276" s="125" t="s">
        <v>1506</v>
      </c>
      <c r="F276" s="113" t="s">
        <v>582</v>
      </c>
      <c r="G276" s="131" t="s">
        <v>1507</v>
      </c>
      <c r="H276" s="101"/>
      <c r="I276" s="103" t="s">
        <v>1508</v>
      </c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24.5" customHeight="1">
      <c r="A277" s="116"/>
      <c r="B277" s="119" t="s">
        <v>720</v>
      </c>
      <c r="C277" s="113" t="s">
        <v>1509</v>
      </c>
      <c r="D277" s="114" t="s">
        <v>1510</v>
      </c>
      <c r="E277" s="125" t="s">
        <v>1511</v>
      </c>
      <c r="F277" s="103" t="s">
        <v>582</v>
      </c>
      <c r="G277" s="113"/>
      <c r="H277" s="101"/>
      <c r="I277" s="103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24.5" customHeight="1">
      <c r="A278" s="116"/>
      <c r="B278" s="163" t="s">
        <v>1512</v>
      </c>
      <c r="C278" s="113" t="s">
        <v>1513</v>
      </c>
      <c r="D278" s="114" t="s">
        <v>1514</v>
      </c>
      <c r="E278" s="161" t="s">
        <v>1515</v>
      </c>
      <c r="F278" s="119" t="s">
        <v>572</v>
      </c>
      <c r="G278" s="103"/>
      <c r="H278" s="103"/>
      <c r="I278" s="27"/>
      <c r="J278" s="27"/>
      <c r="K278" s="103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24.5" customHeight="1">
      <c r="A279" s="116"/>
      <c r="B279" s="163" t="s">
        <v>1144</v>
      </c>
      <c r="C279" s="113" t="s">
        <v>1516</v>
      </c>
      <c r="D279" s="114"/>
      <c r="E279" s="161" t="s">
        <v>1517</v>
      </c>
      <c r="F279" s="103" t="s">
        <v>595</v>
      </c>
      <c r="G279" s="115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24.5" customHeight="1">
      <c r="A280" s="116"/>
      <c r="B280" s="163" t="s">
        <v>1213</v>
      </c>
      <c r="C280" s="113" t="s">
        <v>1518</v>
      </c>
      <c r="D280" s="114"/>
      <c r="E280" s="125" t="s">
        <v>1519</v>
      </c>
      <c r="F280" s="103" t="s">
        <v>1520</v>
      </c>
      <c r="G280" s="113"/>
      <c r="H280" s="103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24.5" customHeight="1">
      <c r="A281" s="116"/>
      <c r="B281" s="163" t="s">
        <v>1144</v>
      </c>
      <c r="C281" s="113" t="s">
        <v>1521</v>
      </c>
      <c r="D281" s="114"/>
      <c r="E281" s="125" t="s">
        <v>1522</v>
      </c>
      <c r="F281" s="103" t="s">
        <v>595</v>
      </c>
      <c r="G281" s="115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24.5" customHeight="1">
      <c r="A282" s="116"/>
      <c r="B282" s="164" t="s">
        <v>592</v>
      </c>
      <c r="C282" s="113" t="s">
        <v>1523</v>
      </c>
      <c r="D282" s="114"/>
      <c r="E282" s="113" t="s">
        <v>1524</v>
      </c>
      <c r="F282" s="113" t="s">
        <v>595</v>
      </c>
      <c r="G282" s="113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24.5" customHeight="1">
      <c r="A283" s="116"/>
      <c r="B283" s="165" t="s">
        <v>1525</v>
      </c>
      <c r="C283" s="113" t="s">
        <v>1526</v>
      </c>
      <c r="D283" s="114"/>
      <c r="E283" s="135" t="s">
        <v>1527</v>
      </c>
      <c r="F283" s="113" t="s">
        <v>1520</v>
      </c>
      <c r="G283" s="103"/>
      <c r="H283" s="103"/>
      <c r="I283" s="27"/>
      <c r="J283" s="27"/>
      <c r="K283" s="103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24.5" customHeight="1">
      <c r="A284" s="116"/>
      <c r="B284" s="119" t="s">
        <v>1041</v>
      </c>
      <c r="C284" s="113" t="s">
        <v>1528</v>
      </c>
      <c r="D284" s="114"/>
      <c r="E284" s="113" t="s">
        <v>1529</v>
      </c>
      <c r="F284" s="113" t="s">
        <v>1530</v>
      </c>
      <c r="G284" s="113"/>
      <c r="H284" s="103"/>
      <c r="I284" s="103"/>
      <c r="J284" s="103"/>
      <c r="K284" s="109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24.5" customHeight="1">
      <c r="A285" s="116"/>
      <c r="B285" s="163" t="s">
        <v>1144</v>
      </c>
      <c r="C285" s="113" t="s">
        <v>1531</v>
      </c>
      <c r="D285" s="114"/>
      <c r="E285" s="113" t="s">
        <v>1532</v>
      </c>
      <c r="F285" s="113"/>
      <c r="G285" s="113"/>
      <c r="H285" s="103"/>
      <c r="I285" s="103"/>
      <c r="J285" s="103"/>
      <c r="K285" s="109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24.5" customHeight="1">
      <c r="A286" s="116"/>
      <c r="B286" s="119" t="s">
        <v>623</v>
      </c>
      <c r="C286" s="113" t="s">
        <v>1533</v>
      </c>
      <c r="D286" s="114"/>
      <c r="E286" s="113" t="s">
        <v>1534</v>
      </c>
      <c r="F286" s="113"/>
      <c r="G286" s="113"/>
      <c r="H286" s="101"/>
      <c r="I286" s="103"/>
      <c r="J286" s="101"/>
      <c r="K286" s="103" t="s">
        <v>1535</v>
      </c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24.5" customHeight="1">
      <c r="A287" s="116"/>
      <c r="B287" s="119" t="s">
        <v>1536</v>
      </c>
      <c r="C287" s="113" t="s">
        <v>1537</v>
      </c>
      <c r="D287" s="114"/>
      <c r="E287" s="113" t="s">
        <v>1538</v>
      </c>
      <c r="F287" s="115"/>
      <c r="G287" s="115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24.5" customHeight="1">
      <c r="A288" s="116"/>
      <c r="B288" s="163" t="s">
        <v>1213</v>
      </c>
      <c r="C288" s="113" t="s">
        <v>1539</v>
      </c>
      <c r="D288" s="114"/>
      <c r="E288" s="113" t="s">
        <v>1538</v>
      </c>
      <c r="F288" s="113"/>
      <c r="G288" s="115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24.5" customHeight="1">
      <c r="A289" s="116"/>
      <c r="B289" s="166" t="s">
        <v>599</v>
      </c>
      <c r="C289" s="113" t="s">
        <v>1540</v>
      </c>
      <c r="D289" s="114"/>
      <c r="E289" s="113" t="s">
        <v>1541</v>
      </c>
      <c r="F289" s="115"/>
      <c r="G289" s="115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24.5" customHeight="1">
      <c r="A290" s="116"/>
      <c r="B290" s="166" t="s">
        <v>1542</v>
      </c>
      <c r="C290" s="113" t="s">
        <v>1543</v>
      </c>
      <c r="D290" s="114"/>
      <c r="E290" s="113" t="s">
        <v>1544</v>
      </c>
      <c r="F290" s="115"/>
      <c r="G290" s="115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24.5" customHeight="1">
      <c r="A291" s="116"/>
      <c r="B291" s="125"/>
      <c r="C291" s="113" t="s">
        <v>1545</v>
      </c>
      <c r="D291" s="114"/>
      <c r="E291" s="113" t="s">
        <v>1546</v>
      </c>
      <c r="F291" s="113"/>
      <c r="G291" s="113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24.5" customHeight="1">
      <c r="A292" s="116"/>
      <c r="B292" s="113" t="s">
        <v>1029</v>
      </c>
      <c r="C292" s="113" t="s">
        <v>1547</v>
      </c>
      <c r="D292" s="114"/>
      <c r="E292" s="113" t="s">
        <v>1548</v>
      </c>
      <c r="F292" s="113"/>
      <c r="G292" s="113"/>
      <c r="H292" s="103"/>
      <c r="I292" s="103"/>
      <c r="J292" s="103"/>
      <c r="K292" s="109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24.5" customHeight="1">
      <c r="A293" s="116"/>
      <c r="B293" s="166" t="s">
        <v>599</v>
      </c>
      <c r="C293" s="113" t="s">
        <v>1549</v>
      </c>
      <c r="D293" s="114"/>
      <c r="E293" s="113" t="s">
        <v>1550</v>
      </c>
      <c r="F293" s="103"/>
      <c r="G293" s="103"/>
      <c r="H293" s="103"/>
      <c r="I293" s="27"/>
      <c r="J293" s="27"/>
      <c r="K293" s="103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24.5" customHeight="1">
      <c r="A294" s="116"/>
      <c r="B294" s="164" t="s">
        <v>1551</v>
      </c>
      <c r="C294" s="113" t="s">
        <v>1552</v>
      </c>
      <c r="D294" s="109"/>
      <c r="E294" s="113" t="s">
        <v>1553</v>
      </c>
      <c r="F294" s="109"/>
      <c r="G294" s="109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24.5" customHeight="1">
      <c r="A295" s="116"/>
      <c r="B295" s="115"/>
      <c r="C295" s="113" t="s">
        <v>1554</v>
      </c>
      <c r="D295" s="114"/>
      <c r="E295" s="113" t="s">
        <v>1555</v>
      </c>
      <c r="F295" s="115"/>
      <c r="G295" s="115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24.5" customHeight="1">
      <c r="A296" s="116"/>
      <c r="B296" s="113" t="s">
        <v>800</v>
      </c>
      <c r="C296" s="113" t="s">
        <v>1556</v>
      </c>
      <c r="D296" s="114"/>
      <c r="E296" s="113" t="s">
        <v>1557</v>
      </c>
      <c r="F296" s="115"/>
      <c r="G296" s="115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24.5" customHeight="1">
      <c r="A297" s="116"/>
      <c r="B297" s="115"/>
      <c r="C297" s="115"/>
      <c r="D297" s="114"/>
      <c r="E297" s="115"/>
      <c r="F297" s="115"/>
      <c r="G297" s="115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24.5" customHeight="1">
      <c r="A298" s="116"/>
      <c r="B298" s="115"/>
      <c r="C298" s="115"/>
      <c r="D298" s="114"/>
      <c r="E298" s="115"/>
      <c r="F298" s="115"/>
      <c r="G298" s="115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24.5" customHeight="1">
      <c r="A299" s="116"/>
      <c r="B299" s="115"/>
      <c r="C299" s="115"/>
      <c r="D299" s="114"/>
      <c r="E299" s="115"/>
      <c r="F299" s="115"/>
      <c r="G299" s="115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24.5" customHeight="1">
      <c r="A300" s="116"/>
      <c r="B300" s="115"/>
      <c r="C300" s="115"/>
      <c r="D300" s="114"/>
      <c r="E300" s="115"/>
      <c r="F300" s="115"/>
      <c r="G300" s="115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24.5" customHeight="1">
      <c r="A301" s="116"/>
      <c r="B301" s="115"/>
      <c r="C301" s="115"/>
      <c r="D301" s="114"/>
      <c r="E301" s="115"/>
      <c r="F301" s="115"/>
      <c r="G301" s="115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24.5" customHeight="1">
      <c r="A302" s="116"/>
      <c r="B302" s="115"/>
      <c r="C302" s="115"/>
      <c r="D302" s="114"/>
      <c r="E302" s="115"/>
      <c r="F302" s="115"/>
      <c r="G302" s="115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24.5" customHeight="1">
      <c r="A303" s="116"/>
      <c r="B303" s="115"/>
      <c r="C303" s="115"/>
      <c r="D303" s="114"/>
      <c r="E303" s="115"/>
      <c r="F303" s="115"/>
      <c r="G303" s="115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24.5" customHeight="1">
      <c r="A304" s="116"/>
      <c r="B304" s="115"/>
      <c r="C304" s="115"/>
      <c r="D304" s="114"/>
      <c r="E304" s="115"/>
      <c r="F304" s="115"/>
      <c r="G304" s="115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24.5" customHeight="1">
      <c r="A305" s="116"/>
      <c r="B305" s="115"/>
      <c r="C305" s="115"/>
      <c r="D305" s="114"/>
      <c r="E305" s="115"/>
      <c r="F305" s="115"/>
      <c r="G305" s="115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24.5" customHeight="1">
      <c r="A306" s="116"/>
      <c r="B306" s="115"/>
      <c r="C306" s="115"/>
      <c r="D306" s="114"/>
      <c r="E306" s="115"/>
      <c r="F306" s="115"/>
      <c r="G306" s="115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24.5" customHeight="1">
      <c r="A307" s="116"/>
      <c r="B307" s="115"/>
      <c r="C307" s="115"/>
      <c r="D307" s="114"/>
      <c r="E307" s="115"/>
      <c r="F307" s="115"/>
      <c r="G307" s="115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24.5" customHeight="1">
      <c r="A308" s="116"/>
      <c r="B308" s="115"/>
      <c r="C308" s="115"/>
      <c r="D308" s="114"/>
      <c r="E308" s="115"/>
      <c r="F308" s="115"/>
      <c r="G308" s="115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24.5" customHeight="1">
      <c r="A309" s="116"/>
      <c r="B309" s="115"/>
      <c r="C309" s="115"/>
      <c r="D309" s="114"/>
      <c r="E309" s="115"/>
      <c r="F309" s="115"/>
      <c r="G309" s="115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24.5" customHeight="1">
      <c r="A310" s="116"/>
      <c r="B310" s="115"/>
      <c r="C310" s="115"/>
      <c r="D310" s="114"/>
      <c r="E310" s="115"/>
      <c r="F310" s="115"/>
      <c r="G310" s="115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24.5" customHeight="1">
      <c r="A311" s="116"/>
      <c r="B311" s="115"/>
      <c r="C311" s="115"/>
      <c r="D311" s="114"/>
      <c r="E311" s="115"/>
      <c r="F311" s="115"/>
      <c r="G311" s="115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24.5" customHeight="1">
      <c r="A312" s="116"/>
      <c r="B312" s="115"/>
      <c r="C312" s="115"/>
      <c r="D312" s="114"/>
      <c r="E312" s="115"/>
      <c r="F312" s="115"/>
      <c r="G312" s="115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24.5" customHeight="1">
      <c r="A313" s="116"/>
      <c r="B313" s="115"/>
      <c r="C313" s="115"/>
      <c r="D313" s="114"/>
      <c r="E313" s="115"/>
      <c r="F313" s="115"/>
      <c r="G313" s="115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24.5" customHeight="1">
      <c r="A314" s="116"/>
      <c r="B314" s="115"/>
      <c r="C314" s="115"/>
      <c r="D314" s="114"/>
      <c r="E314" s="115"/>
      <c r="F314" s="115"/>
      <c r="G314" s="115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24.5" customHeight="1">
      <c r="A315" s="116"/>
      <c r="B315" s="115"/>
      <c r="C315" s="115"/>
      <c r="D315" s="114"/>
      <c r="E315" s="115"/>
      <c r="F315" s="115"/>
      <c r="G315" s="115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24.5" customHeight="1">
      <c r="A316" s="116"/>
      <c r="B316" s="115"/>
      <c r="C316" s="115"/>
      <c r="D316" s="114"/>
      <c r="E316" s="115"/>
      <c r="F316" s="115"/>
      <c r="G316" s="115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24.5" customHeight="1">
      <c r="A317" s="116"/>
      <c r="B317" s="115"/>
      <c r="C317" s="115"/>
      <c r="D317" s="114"/>
      <c r="E317" s="115"/>
      <c r="F317" s="115"/>
      <c r="G317" s="115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24.5" customHeight="1">
      <c r="A318" s="116"/>
      <c r="B318" s="115"/>
      <c r="C318" s="115"/>
      <c r="D318" s="114"/>
      <c r="E318" s="115"/>
      <c r="F318" s="115"/>
      <c r="G318" s="115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24.5" customHeight="1">
      <c r="A319" s="116"/>
      <c r="B319" s="115"/>
      <c r="C319" s="115"/>
      <c r="D319" s="114"/>
      <c r="E319" s="115"/>
      <c r="F319" s="115"/>
      <c r="G319" s="115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24.5" customHeight="1">
      <c r="A320" s="116"/>
      <c r="B320" s="115"/>
      <c r="C320" s="115"/>
      <c r="D320" s="114"/>
      <c r="E320" s="115"/>
      <c r="F320" s="115"/>
      <c r="G320" s="115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24.5" customHeight="1">
      <c r="A321" s="116"/>
      <c r="B321" s="115"/>
      <c r="C321" s="115"/>
      <c r="D321" s="114"/>
      <c r="E321" s="115"/>
      <c r="F321" s="115"/>
      <c r="G321" s="115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24.5" customHeight="1">
      <c r="A322" s="116"/>
      <c r="B322" s="115"/>
      <c r="C322" s="115"/>
      <c r="D322" s="114"/>
      <c r="E322" s="115"/>
      <c r="F322" s="115"/>
      <c r="G322" s="115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24.5" customHeight="1">
      <c r="A323" s="116"/>
      <c r="B323" s="115"/>
      <c r="C323" s="115"/>
      <c r="D323" s="114"/>
      <c r="E323" s="115"/>
      <c r="F323" s="115"/>
      <c r="G323" s="115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24.5" customHeight="1">
      <c r="A324" s="116"/>
      <c r="B324" s="115"/>
      <c r="C324" s="115"/>
      <c r="D324" s="114"/>
      <c r="E324" s="115"/>
      <c r="F324" s="115"/>
      <c r="G324" s="115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24.5" customHeight="1">
      <c r="A325" s="116"/>
      <c r="B325" s="115"/>
      <c r="C325" s="115"/>
      <c r="D325" s="114"/>
      <c r="E325" s="115"/>
      <c r="F325" s="115"/>
      <c r="G325" s="115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24.5" customHeight="1">
      <c r="A326" s="116"/>
      <c r="B326" s="115"/>
      <c r="C326" s="115"/>
      <c r="D326" s="114"/>
      <c r="E326" s="115"/>
      <c r="F326" s="115"/>
      <c r="G326" s="115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24.5" customHeight="1">
      <c r="A327" s="116"/>
      <c r="B327" s="115"/>
      <c r="C327" s="115"/>
      <c r="D327" s="114"/>
      <c r="E327" s="115"/>
      <c r="F327" s="115"/>
      <c r="G327" s="115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24.5" customHeight="1">
      <c r="A328" s="116"/>
      <c r="B328" s="115"/>
      <c r="C328" s="115"/>
      <c r="D328" s="114"/>
      <c r="E328" s="115"/>
      <c r="F328" s="115"/>
      <c r="G328" s="115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24.5" customHeight="1">
      <c r="A329" s="116"/>
      <c r="B329" s="115"/>
      <c r="C329" s="115"/>
      <c r="D329" s="114"/>
      <c r="E329" s="115"/>
      <c r="F329" s="115"/>
      <c r="G329" s="115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24.5" customHeight="1">
      <c r="A330" s="116"/>
      <c r="B330" s="115"/>
      <c r="C330" s="115"/>
      <c r="D330" s="114"/>
      <c r="E330" s="115"/>
      <c r="F330" s="115"/>
      <c r="G330" s="115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24.5" customHeight="1">
      <c r="A331" s="116"/>
      <c r="B331" s="115"/>
      <c r="C331" s="115"/>
      <c r="D331" s="114"/>
      <c r="E331" s="115"/>
      <c r="F331" s="115"/>
      <c r="G331" s="115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24.5" customHeight="1">
      <c r="A332" s="116"/>
      <c r="B332" s="115"/>
      <c r="C332" s="115"/>
      <c r="D332" s="114"/>
      <c r="E332" s="115"/>
      <c r="F332" s="115"/>
      <c r="G332" s="115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24.5" customHeight="1">
      <c r="A333" s="116"/>
      <c r="B333" s="115"/>
      <c r="C333" s="115"/>
      <c r="D333" s="114"/>
      <c r="E333" s="115"/>
      <c r="F333" s="115"/>
      <c r="G333" s="115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24.5" customHeight="1">
      <c r="A334" s="116"/>
      <c r="B334" s="115"/>
      <c r="C334" s="115"/>
      <c r="D334" s="114"/>
      <c r="E334" s="115"/>
      <c r="F334" s="115"/>
      <c r="G334" s="115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24.5" customHeight="1">
      <c r="A335" s="116"/>
      <c r="B335" s="115"/>
      <c r="C335" s="115"/>
      <c r="D335" s="114"/>
      <c r="E335" s="115"/>
      <c r="F335" s="115"/>
      <c r="G335" s="115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24.5" customHeight="1">
      <c r="A336" s="116"/>
      <c r="B336" s="115"/>
      <c r="C336" s="115"/>
      <c r="D336" s="114"/>
      <c r="E336" s="115"/>
      <c r="F336" s="115"/>
      <c r="G336" s="115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24.5" customHeight="1">
      <c r="A337" s="116"/>
      <c r="B337" s="115"/>
      <c r="C337" s="115"/>
      <c r="D337" s="114"/>
      <c r="E337" s="115"/>
      <c r="F337" s="115"/>
      <c r="G337" s="115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24.5" customHeight="1">
      <c r="A338" s="116"/>
      <c r="B338" s="115"/>
      <c r="C338" s="115"/>
      <c r="D338" s="114"/>
      <c r="E338" s="115"/>
      <c r="F338" s="115"/>
      <c r="G338" s="115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24.5" customHeight="1">
      <c r="A339" s="116"/>
      <c r="B339" s="115"/>
      <c r="C339" s="115"/>
      <c r="D339" s="114"/>
      <c r="E339" s="115"/>
      <c r="F339" s="115"/>
      <c r="G339" s="115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24.5" customHeight="1">
      <c r="A340" s="116"/>
      <c r="B340" s="115"/>
      <c r="C340" s="115"/>
      <c r="D340" s="114"/>
      <c r="E340" s="115"/>
      <c r="F340" s="115"/>
      <c r="G340" s="115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24.5" customHeight="1">
      <c r="A341" s="116"/>
      <c r="B341" s="115"/>
      <c r="C341" s="115"/>
      <c r="D341" s="114"/>
      <c r="E341" s="115"/>
      <c r="F341" s="115"/>
      <c r="G341" s="115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24.5" customHeight="1">
      <c r="A342" s="116"/>
      <c r="B342" s="115"/>
      <c r="C342" s="115"/>
      <c r="D342" s="114"/>
      <c r="E342" s="115"/>
      <c r="F342" s="115"/>
      <c r="G342" s="115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24.5" customHeight="1">
      <c r="A343" s="116"/>
      <c r="B343" s="115"/>
      <c r="C343" s="115"/>
      <c r="D343" s="114"/>
      <c r="E343" s="115"/>
      <c r="F343" s="115"/>
      <c r="G343" s="115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24.5" customHeight="1">
      <c r="A344" s="116"/>
      <c r="B344" s="115"/>
      <c r="C344" s="115"/>
      <c r="D344" s="114"/>
      <c r="E344" s="115"/>
      <c r="F344" s="115"/>
      <c r="G344" s="115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24.5" customHeight="1">
      <c r="A345" s="116"/>
      <c r="B345" s="115"/>
      <c r="C345" s="115"/>
      <c r="D345" s="114"/>
      <c r="E345" s="115"/>
      <c r="F345" s="115"/>
      <c r="G345" s="115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24.5" customHeight="1">
      <c r="A346" s="116"/>
      <c r="B346" s="115"/>
      <c r="C346" s="115"/>
      <c r="D346" s="114"/>
      <c r="E346" s="115"/>
      <c r="F346" s="115"/>
      <c r="G346" s="115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24.5" customHeight="1">
      <c r="A347" s="116"/>
      <c r="B347" s="115"/>
      <c r="C347" s="115"/>
      <c r="D347" s="114"/>
      <c r="E347" s="115"/>
      <c r="F347" s="115"/>
      <c r="G347" s="115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24.5" customHeight="1">
      <c r="A348" s="116"/>
      <c r="B348" s="115"/>
      <c r="C348" s="115"/>
      <c r="D348" s="114"/>
      <c r="E348" s="115"/>
      <c r="F348" s="115"/>
      <c r="G348" s="115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24.5" customHeight="1">
      <c r="A349" s="116"/>
      <c r="B349" s="115"/>
      <c r="C349" s="115"/>
      <c r="D349" s="114"/>
      <c r="E349" s="115"/>
      <c r="F349" s="115"/>
      <c r="G349" s="115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24.5" customHeight="1">
      <c r="A350" s="116"/>
      <c r="B350" s="115"/>
      <c r="C350" s="115"/>
      <c r="D350" s="114"/>
      <c r="E350" s="115"/>
      <c r="F350" s="115"/>
      <c r="G350" s="115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24.5" customHeight="1">
      <c r="A351" s="116"/>
      <c r="B351" s="115"/>
      <c r="C351" s="115"/>
      <c r="D351" s="114"/>
      <c r="E351" s="115"/>
      <c r="F351" s="115"/>
      <c r="G351" s="115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4.25" customHeight="1">
      <c r="A352" s="99"/>
      <c r="B352" s="167"/>
      <c r="C352" s="167"/>
      <c r="D352" s="168"/>
      <c r="E352" s="167"/>
      <c r="F352" s="167"/>
      <c r="G352" s="167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4.25" customHeight="1">
      <c r="A353" s="99"/>
      <c r="B353" s="167"/>
      <c r="C353" s="167"/>
      <c r="D353" s="168"/>
      <c r="E353" s="167"/>
      <c r="F353" s="167"/>
      <c r="G353" s="167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4.25" customHeight="1">
      <c r="A354" s="99"/>
      <c r="B354" s="167"/>
      <c r="C354" s="167"/>
      <c r="D354" s="168"/>
      <c r="E354" s="167"/>
      <c r="F354" s="167"/>
      <c r="G354" s="167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4.25" customHeight="1">
      <c r="A355" s="99"/>
      <c r="B355" s="167"/>
      <c r="C355" s="167"/>
      <c r="D355" s="168"/>
      <c r="E355" s="167"/>
      <c r="F355" s="167"/>
      <c r="G355" s="167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4.25" customHeight="1">
      <c r="A356" s="99"/>
      <c r="B356" s="167"/>
      <c r="C356" s="167"/>
      <c r="D356" s="168"/>
      <c r="E356" s="167"/>
      <c r="F356" s="167"/>
      <c r="G356" s="167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4.25" customHeight="1">
      <c r="A357" s="99"/>
      <c r="B357" s="167"/>
      <c r="C357" s="167"/>
      <c r="D357" s="168"/>
      <c r="E357" s="167"/>
      <c r="F357" s="167"/>
      <c r="G357" s="167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4.25" customHeight="1">
      <c r="A358" s="99"/>
      <c r="B358" s="167"/>
      <c r="C358" s="167"/>
      <c r="D358" s="168"/>
      <c r="E358" s="167"/>
      <c r="F358" s="167"/>
      <c r="G358" s="167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4.25" customHeight="1">
      <c r="A359" s="99"/>
      <c r="B359" s="167"/>
      <c r="C359" s="167"/>
      <c r="D359" s="168"/>
      <c r="E359" s="167"/>
      <c r="F359" s="167"/>
      <c r="G359" s="167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4.25" customHeight="1">
      <c r="A360" s="99"/>
      <c r="B360" s="167"/>
      <c r="C360" s="115"/>
      <c r="D360" s="169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4.25" customHeight="1">
      <c r="A361" s="99"/>
      <c r="B361" s="167"/>
      <c r="C361" s="167"/>
      <c r="D361" s="168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4.25" customHeight="1">
      <c r="A362" s="99"/>
      <c r="B362" s="167"/>
      <c r="C362" s="167"/>
      <c r="D362" s="168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4.25" customHeight="1">
      <c r="A363" s="99"/>
      <c r="B363" s="167"/>
      <c r="C363" s="167"/>
      <c r="D363" s="168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4.25" customHeight="1">
      <c r="A364" s="99"/>
      <c r="B364" s="167"/>
      <c r="C364" s="167"/>
      <c r="D364" s="168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4.25" customHeight="1">
      <c r="A365" s="99"/>
      <c r="B365" s="167"/>
      <c r="C365" s="167"/>
      <c r="D365" s="168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4.25" customHeight="1">
      <c r="A366" s="99"/>
      <c r="B366" s="167"/>
      <c r="C366" s="167"/>
      <c r="D366" s="168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4.25" customHeight="1">
      <c r="A367" s="99"/>
      <c r="B367" s="167"/>
      <c r="C367" s="167"/>
      <c r="D367" s="168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4.25" customHeight="1">
      <c r="A368" s="99"/>
      <c r="B368" s="167"/>
      <c r="C368" s="167"/>
      <c r="D368" s="168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4.25" customHeight="1">
      <c r="A369" s="99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4.25" customHeight="1">
      <c r="A370" s="99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4.25" customHeight="1">
      <c r="A371" s="99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4.25" customHeight="1">
      <c r="A372" s="99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4.25" customHeight="1">
      <c r="A373" s="99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4.25" customHeight="1">
      <c r="A374" s="99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4.25" customHeight="1">
      <c r="A375" s="99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4.25" customHeight="1">
      <c r="A376" s="99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4.25" customHeight="1">
      <c r="A377" s="99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4.25" customHeight="1">
      <c r="A378" s="99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4.25" customHeight="1">
      <c r="A379" s="99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4.25" customHeight="1">
      <c r="A380" s="99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4.25" customHeight="1">
      <c r="A381" s="99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4.25" customHeight="1">
      <c r="A382" s="99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4.25" customHeight="1">
      <c r="A383" s="99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4.25" customHeight="1">
      <c r="A384" s="99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4.25" customHeight="1">
      <c r="A385" s="99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4.25" customHeight="1">
      <c r="A386" s="99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4.25" customHeight="1">
      <c r="A387" s="99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4.25" customHeight="1">
      <c r="A388" s="99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4.25" customHeight="1">
      <c r="A389" s="99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4.25" customHeight="1">
      <c r="A390" s="99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4.25" customHeight="1">
      <c r="A391" s="99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4.25" customHeight="1">
      <c r="A392" s="99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4.25" customHeight="1">
      <c r="A393" s="99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4.25" customHeight="1">
      <c r="A394" s="99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4.25" customHeight="1">
      <c r="A395" s="99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4.25" customHeight="1">
      <c r="A396" s="99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4.25" customHeight="1">
      <c r="A397" s="99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4.25" customHeight="1">
      <c r="A398" s="99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4.25" customHeight="1">
      <c r="A399" s="99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4.25" customHeight="1">
      <c r="A400" s="99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4.25" customHeight="1">
      <c r="A401" s="99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4.25" customHeight="1">
      <c r="A402" s="99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4.25" customHeight="1">
      <c r="A403" s="99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4.25" customHeight="1">
      <c r="A404" s="99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4.25" customHeight="1">
      <c r="A405" s="99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4.25" customHeight="1">
      <c r="A406" s="99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4.25" customHeight="1">
      <c r="A407" s="99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4.25" customHeight="1">
      <c r="A408" s="99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4.25" customHeight="1">
      <c r="A409" s="99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4.25" customHeight="1">
      <c r="A410" s="99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4.25" customHeight="1">
      <c r="A411" s="99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4.25" customHeight="1">
      <c r="A412" s="99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4.25" customHeight="1">
      <c r="A413" s="99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4.25" customHeight="1">
      <c r="A414" s="99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4.25" customHeight="1">
      <c r="A415" s="99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4.25" customHeight="1">
      <c r="A416" s="99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4.25" customHeight="1">
      <c r="A417" s="99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4.25" customHeight="1">
      <c r="A418" s="99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4.25" customHeight="1">
      <c r="A419" s="99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4.25" customHeight="1">
      <c r="A420" s="99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4.25" customHeight="1">
      <c r="A421" s="99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4.25" customHeight="1">
      <c r="A422" s="99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4.25" customHeight="1">
      <c r="A423" s="99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4.25" customHeight="1">
      <c r="A424" s="99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4.25" customHeight="1">
      <c r="A425" s="99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4.25" customHeight="1">
      <c r="A426" s="99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4.25" customHeight="1">
      <c r="A427" s="99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4.25" customHeight="1">
      <c r="A428" s="99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4.25" customHeight="1">
      <c r="A429" s="99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4.25" customHeight="1">
      <c r="A430" s="99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4.25" customHeight="1">
      <c r="A431" s="99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4.25" customHeight="1">
      <c r="A432" s="99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4.25" customHeight="1">
      <c r="A433" s="99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4.25" customHeight="1">
      <c r="A434" s="99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4.25" customHeight="1">
      <c r="A435" s="99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4.25" customHeight="1">
      <c r="A436" s="99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4.25" customHeight="1">
      <c r="A437" s="99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4.25" customHeight="1">
      <c r="A438" s="99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4.25" customHeight="1">
      <c r="A439" s="99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4.25" customHeight="1">
      <c r="A440" s="99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4.25" customHeight="1">
      <c r="A441" s="99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4.25" customHeight="1">
      <c r="A442" s="99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4.25" customHeight="1">
      <c r="A443" s="99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4.25" customHeight="1">
      <c r="A444" s="99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4.25" customHeight="1">
      <c r="A445" s="99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4.25" customHeight="1">
      <c r="A446" s="99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4.25" customHeight="1">
      <c r="A447" s="99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4.25" customHeight="1">
      <c r="A448" s="99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4.25" customHeight="1">
      <c r="A449" s="99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4.25" customHeight="1">
      <c r="A450" s="99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4.25" customHeight="1">
      <c r="A451" s="99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4.25" customHeight="1">
      <c r="A452" s="99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4.25" customHeight="1">
      <c r="A453" s="99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4.25" customHeight="1">
      <c r="A454" s="99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4.25" customHeight="1">
      <c r="A455" s="99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4.25" customHeight="1">
      <c r="A456" s="99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4.25" customHeight="1">
      <c r="A457" s="99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4.25" customHeight="1">
      <c r="A458" s="99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4.25" customHeight="1">
      <c r="A459" s="99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4.25" customHeight="1">
      <c r="A460" s="99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4.25" customHeight="1">
      <c r="A461" s="99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4.25" customHeight="1">
      <c r="A462" s="99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4.25" customHeight="1">
      <c r="A463" s="99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4.25" customHeight="1">
      <c r="A464" s="99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4.25" customHeight="1">
      <c r="A465" s="99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4.25" customHeight="1">
      <c r="A466" s="99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4.25" customHeight="1">
      <c r="A467" s="99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4.25" customHeight="1">
      <c r="A468" s="99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4.25" customHeight="1">
      <c r="A469" s="99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4.25" customHeight="1">
      <c r="A470" s="99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4.25" customHeight="1">
      <c r="A471" s="99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4.25" customHeight="1">
      <c r="A472" s="99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4.25" customHeight="1">
      <c r="A473" s="99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4.25" customHeight="1">
      <c r="A474" s="99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4.25" customHeight="1">
      <c r="A475" s="99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4.25" customHeight="1">
      <c r="A476" s="99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4.25" customHeight="1">
      <c r="A477" s="99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4.25" customHeight="1">
      <c r="A478" s="99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4.25" customHeight="1">
      <c r="A479" s="99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4.25" customHeight="1">
      <c r="A480" s="99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4.25" customHeight="1">
      <c r="A481" s="99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4.25" customHeight="1">
      <c r="A482" s="99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4.25" customHeight="1">
      <c r="A483" s="99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4.25" customHeight="1">
      <c r="A484" s="99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4.25" customHeight="1">
      <c r="A485" s="99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4.25" customHeight="1">
      <c r="A486" s="99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4.25" customHeight="1">
      <c r="A487" s="99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4.25" customHeight="1">
      <c r="A488" s="99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4.25" customHeight="1">
      <c r="A489" s="99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4.25" customHeight="1">
      <c r="A490" s="99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4.25" customHeight="1">
      <c r="A491" s="99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4.25" customHeight="1">
      <c r="A492" s="99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4.25" customHeight="1">
      <c r="A493" s="99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4.25" customHeight="1">
      <c r="A494" s="99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4.25" customHeight="1">
      <c r="A495" s="99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4.25" customHeight="1">
      <c r="A496" s="99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4.25" customHeight="1">
      <c r="A497" s="99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4.25" customHeight="1">
      <c r="A498" s="99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4.25" customHeight="1">
      <c r="A499" s="99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4.25" customHeight="1">
      <c r="A500" s="99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4.25" customHeight="1">
      <c r="A501" s="99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4.25" customHeight="1">
      <c r="A502" s="99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4.25" customHeight="1">
      <c r="A503" s="99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4.25" customHeight="1">
      <c r="A504" s="99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4.25" customHeight="1">
      <c r="A505" s="99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4.25" customHeight="1">
      <c r="A506" s="99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4.25" customHeight="1">
      <c r="A507" s="99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4.25" customHeight="1">
      <c r="A508" s="99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4.25" customHeight="1">
      <c r="A509" s="99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4.25" customHeight="1">
      <c r="A510" s="99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4.25" customHeight="1">
      <c r="A511" s="99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4.25" customHeight="1">
      <c r="A512" s="99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4.25" customHeight="1">
      <c r="A513" s="99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4.25" customHeight="1">
      <c r="A514" s="99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4.25" customHeight="1">
      <c r="A515" s="99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4.25" customHeight="1">
      <c r="A516" s="99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4.25" customHeight="1">
      <c r="A517" s="99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4.25" customHeight="1">
      <c r="A518" s="99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4.25" customHeight="1">
      <c r="A519" s="99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4.25" customHeight="1">
      <c r="A520" s="99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4.25" customHeight="1">
      <c r="A521" s="99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4.25" customHeight="1">
      <c r="A522" s="99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4.25" customHeight="1">
      <c r="A523" s="99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4.25" customHeight="1">
      <c r="A524" s="99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4.25" customHeight="1">
      <c r="A525" s="99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4.25" customHeight="1">
      <c r="A526" s="99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4.25" customHeight="1">
      <c r="A527" s="99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4.25" customHeight="1">
      <c r="A528" s="99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4.25" customHeight="1">
      <c r="A529" s="99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4.25" customHeight="1">
      <c r="A530" s="99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4.25" customHeight="1">
      <c r="A531" s="99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4.25" customHeight="1">
      <c r="A532" s="99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4.25" customHeight="1">
      <c r="A533" s="99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4.25" customHeight="1">
      <c r="A534" s="99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4.25" customHeight="1">
      <c r="A535" s="99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4.25" customHeight="1">
      <c r="A536" s="99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4.25" customHeight="1">
      <c r="A537" s="99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4.25" customHeight="1">
      <c r="A538" s="99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4.25" customHeight="1">
      <c r="A539" s="99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4.25" customHeight="1">
      <c r="A540" s="99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4.25" customHeight="1">
      <c r="A541" s="99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4.25" customHeight="1">
      <c r="A542" s="99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4.25" customHeight="1">
      <c r="A543" s="99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4.25" customHeight="1">
      <c r="A544" s="99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4.25" customHeight="1">
      <c r="A545" s="99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4.25" customHeight="1">
      <c r="A546" s="99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4.25" customHeight="1">
      <c r="A547" s="99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4.25" customHeight="1">
      <c r="A548" s="99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4.25" customHeight="1">
      <c r="A549" s="99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4.25" customHeight="1">
      <c r="A550" s="99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4.25" customHeight="1">
      <c r="A551" s="99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4.25" customHeight="1">
      <c r="A552" s="99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4.25" customHeight="1">
      <c r="A553" s="99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4.25" customHeight="1">
      <c r="A554" s="99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4.25" customHeight="1">
      <c r="A555" s="99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4.25" customHeight="1">
      <c r="A556" s="99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4.25" customHeight="1">
      <c r="A557" s="99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4.25" customHeight="1">
      <c r="A558" s="99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4.25" customHeight="1">
      <c r="A559" s="99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4.25" customHeight="1">
      <c r="A560" s="99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4.25" customHeight="1">
      <c r="A561" s="99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4.25" customHeight="1">
      <c r="A562" s="99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4.25" customHeight="1">
      <c r="A563" s="99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4.25" customHeight="1">
      <c r="A564" s="99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4.25" customHeight="1">
      <c r="A565" s="99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4.25" customHeight="1">
      <c r="A566" s="99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4.25" customHeight="1">
      <c r="A567" s="99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4.25" customHeight="1">
      <c r="A568" s="99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4.25" customHeight="1">
      <c r="A569" s="99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4.25" customHeight="1">
      <c r="A570" s="99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4.25" customHeight="1">
      <c r="A571" s="99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4.25" customHeight="1">
      <c r="A572" s="99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4.25" customHeight="1">
      <c r="A573" s="99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4.25" customHeight="1">
      <c r="A574" s="99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4.25" customHeight="1">
      <c r="A575" s="99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4.25" customHeight="1">
      <c r="A576" s="99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4.25" customHeight="1">
      <c r="A577" s="99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4.25" customHeight="1">
      <c r="A578" s="99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4.25" customHeight="1">
      <c r="A579" s="99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4.25" customHeight="1">
      <c r="A580" s="99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4.25" customHeight="1">
      <c r="A581" s="99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4.25" customHeight="1">
      <c r="A582" s="99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4.25" customHeight="1">
      <c r="A583" s="99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4.25" customHeight="1">
      <c r="A584" s="99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4.25" customHeight="1">
      <c r="A585" s="99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4.25" customHeight="1">
      <c r="A586" s="99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4.25" customHeight="1">
      <c r="A587" s="99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4.25" customHeight="1">
      <c r="A588" s="99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4.25" customHeight="1">
      <c r="A589" s="99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4.25" customHeight="1">
      <c r="A590" s="99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4.25" customHeight="1">
      <c r="A591" s="99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4.25" customHeight="1">
      <c r="A592" s="99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4.25" customHeight="1">
      <c r="A593" s="99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ht="14.25" customHeight="1">
      <c r="A594" s="99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ht="14.25" customHeight="1">
      <c r="A595" s="99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ht="14.25" customHeight="1">
      <c r="A596" s="99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ht="14.25" customHeight="1">
      <c r="A597" s="99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ht="14.25" customHeight="1">
      <c r="A598" s="99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ht="14.25" customHeight="1">
      <c r="A599" s="99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ht="14.25" customHeight="1">
      <c r="A600" s="99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ht="14.25" customHeight="1">
      <c r="A601" s="99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ht="14.25" customHeight="1">
      <c r="A602" s="99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ht="14.25" customHeight="1">
      <c r="A603" s="99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ht="14.25" customHeight="1">
      <c r="A604" s="99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ht="14.25" customHeight="1">
      <c r="A605" s="99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ht="14.25" customHeight="1">
      <c r="A606" s="99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ht="14.25" customHeight="1">
      <c r="A607" s="99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ht="14.25" customHeight="1">
      <c r="A608" s="99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ht="14.25" customHeight="1">
      <c r="A609" s="99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ht="14.25" customHeight="1">
      <c r="A610" s="99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ht="14.25" customHeight="1">
      <c r="A611" s="99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ht="14.25" customHeight="1">
      <c r="A612" s="99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ht="14.25" customHeight="1">
      <c r="A613" s="99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  <row r="614" ht="14.25" customHeight="1">
      <c r="A614" s="99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</row>
    <row r="615" ht="14.25" customHeight="1">
      <c r="A615" s="99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</row>
    <row r="616" ht="14.25" customHeight="1">
      <c r="A616" s="99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</row>
    <row r="617" ht="14.25" customHeight="1">
      <c r="A617" s="99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</row>
    <row r="618" ht="14.25" customHeight="1">
      <c r="A618" s="99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</row>
    <row r="619" ht="14.25" customHeight="1">
      <c r="A619" s="99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</row>
    <row r="620" ht="14.25" customHeight="1">
      <c r="A620" s="99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</row>
    <row r="621" ht="14.25" customHeight="1">
      <c r="A621" s="99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</row>
    <row r="622" ht="14.25" customHeight="1">
      <c r="A622" s="99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</row>
    <row r="623" ht="14.25" customHeight="1">
      <c r="A623" s="99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</row>
    <row r="624" ht="14.25" customHeight="1">
      <c r="A624" s="99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</row>
    <row r="625" ht="14.25" customHeight="1">
      <c r="A625" s="99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</row>
    <row r="626" ht="14.25" customHeight="1">
      <c r="A626" s="99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</row>
    <row r="627" ht="14.25" customHeight="1">
      <c r="A627" s="99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</row>
    <row r="628" ht="14.25" customHeight="1">
      <c r="A628" s="99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</row>
    <row r="629" ht="14.25" customHeight="1">
      <c r="A629" s="99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</row>
    <row r="630" ht="14.25" customHeight="1">
      <c r="A630" s="99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</row>
    <row r="631" ht="14.25" customHeight="1">
      <c r="A631" s="99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</row>
    <row r="632" ht="14.25" customHeight="1">
      <c r="A632" s="99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</row>
    <row r="633" ht="14.25" customHeight="1">
      <c r="A633" s="99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</row>
    <row r="634" ht="14.25" customHeight="1">
      <c r="A634" s="99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</row>
    <row r="635" ht="14.25" customHeight="1">
      <c r="A635" s="99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</row>
    <row r="636" ht="14.25" customHeight="1">
      <c r="A636" s="99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</row>
    <row r="637" ht="14.25" customHeight="1">
      <c r="A637" s="99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</row>
    <row r="638" ht="14.25" customHeight="1">
      <c r="A638" s="99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</row>
    <row r="639" ht="14.25" customHeight="1">
      <c r="A639" s="99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</row>
    <row r="640" ht="14.25" customHeight="1">
      <c r="A640" s="99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</row>
    <row r="641" ht="14.25" customHeight="1">
      <c r="A641" s="99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</row>
    <row r="642" ht="14.25" customHeight="1">
      <c r="A642" s="99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</row>
    <row r="643" ht="14.25" customHeight="1">
      <c r="A643" s="99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</row>
    <row r="644" ht="14.25" customHeight="1">
      <c r="A644" s="99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</row>
    <row r="645" ht="14.25" customHeight="1">
      <c r="A645" s="99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</row>
    <row r="646" ht="14.25" customHeight="1">
      <c r="A646" s="99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</row>
    <row r="647" ht="14.25" customHeight="1">
      <c r="A647" s="99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</row>
    <row r="648" ht="14.25" customHeight="1">
      <c r="A648" s="99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</row>
    <row r="649" ht="14.25" customHeight="1">
      <c r="A649" s="99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</row>
    <row r="650" ht="14.25" customHeight="1">
      <c r="A650" s="99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</row>
    <row r="651" ht="14.25" customHeight="1">
      <c r="A651" s="99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</row>
    <row r="652" ht="14.25" customHeight="1">
      <c r="A652" s="99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</row>
    <row r="653" ht="14.25" customHeight="1">
      <c r="A653" s="99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</row>
    <row r="654" ht="14.25" customHeight="1">
      <c r="A654" s="99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</row>
    <row r="655" ht="14.25" customHeight="1">
      <c r="A655" s="99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</row>
    <row r="656" ht="14.25" customHeight="1">
      <c r="A656" s="99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</row>
    <row r="657" ht="14.25" customHeight="1">
      <c r="A657" s="99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</row>
    <row r="658" ht="14.25" customHeight="1">
      <c r="A658" s="99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</row>
    <row r="659" ht="14.25" customHeight="1">
      <c r="A659" s="99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</row>
    <row r="660" ht="14.25" customHeight="1">
      <c r="A660" s="99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</row>
    <row r="661" ht="14.25" customHeight="1">
      <c r="A661" s="99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</row>
    <row r="662" ht="14.25" customHeight="1">
      <c r="A662" s="99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</row>
    <row r="663" ht="14.25" customHeight="1">
      <c r="A663" s="99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</row>
    <row r="664" ht="14.25" customHeight="1">
      <c r="A664" s="99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</row>
    <row r="665" ht="14.25" customHeight="1">
      <c r="A665" s="99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</row>
    <row r="666" ht="14.25" customHeight="1">
      <c r="A666" s="99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</row>
    <row r="667" ht="14.25" customHeight="1">
      <c r="A667" s="99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</row>
    <row r="668" ht="14.25" customHeight="1">
      <c r="A668" s="99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</row>
    <row r="669" ht="14.25" customHeight="1">
      <c r="A669" s="99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</row>
    <row r="670" ht="14.25" customHeight="1">
      <c r="A670" s="99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</row>
    <row r="671" ht="14.25" customHeight="1">
      <c r="A671" s="99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</row>
    <row r="672" ht="14.25" customHeight="1">
      <c r="A672" s="99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</row>
    <row r="673" ht="14.25" customHeight="1">
      <c r="A673" s="99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</row>
    <row r="674" ht="14.25" customHeight="1">
      <c r="A674" s="99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</row>
    <row r="675" ht="14.25" customHeight="1">
      <c r="A675" s="99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</row>
    <row r="676" ht="14.25" customHeight="1">
      <c r="A676" s="99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</row>
    <row r="677" ht="14.25" customHeight="1">
      <c r="A677" s="99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</row>
    <row r="678" ht="14.25" customHeight="1">
      <c r="A678" s="99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</row>
    <row r="679" ht="14.25" customHeight="1">
      <c r="A679" s="99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</row>
    <row r="680" ht="14.25" customHeight="1">
      <c r="A680" s="99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</row>
    <row r="681" ht="14.25" customHeight="1">
      <c r="A681" s="99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</row>
    <row r="682" ht="14.25" customHeight="1">
      <c r="A682" s="99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</row>
    <row r="683" ht="14.25" customHeight="1">
      <c r="A683" s="99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</row>
    <row r="684" ht="14.25" customHeight="1">
      <c r="A684" s="99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</row>
    <row r="685" ht="14.25" customHeight="1">
      <c r="A685" s="99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</row>
    <row r="686" ht="14.25" customHeight="1">
      <c r="A686" s="99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</row>
    <row r="687" ht="14.25" customHeight="1">
      <c r="A687" s="99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</row>
    <row r="688" ht="14.25" customHeight="1">
      <c r="A688" s="99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</row>
    <row r="689" ht="14.25" customHeight="1">
      <c r="A689" s="99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</row>
    <row r="690" ht="14.25" customHeight="1">
      <c r="A690" s="99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</row>
    <row r="691" ht="14.25" customHeight="1">
      <c r="A691" s="99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</row>
    <row r="692" ht="14.25" customHeight="1">
      <c r="A692" s="99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</row>
    <row r="693" ht="14.25" customHeight="1">
      <c r="A693" s="99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</row>
    <row r="694" ht="14.25" customHeight="1">
      <c r="A694" s="99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</row>
    <row r="695" ht="14.25" customHeight="1">
      <c r="A695" s="99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</row>
    <row r="696" ht="14.25" customHeight="1">
      <c r="A696" s="99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</row>
    <row r="697" ht="14.25" customHeight="1">
      <c r="A697" s="99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</row>
    <row r="698" ht="14.25" customHeight="1">
      <c r="A698" s="99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</row>
    <row r="699" ht="14.25" customHeight="1">
      <c r="A699" s="99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</row>
    <row r="700" ht="14.25" customHeight="1">
      <c r="A700" s="99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</row>
    <row r="701" ht="14.25" customHeight="1">
      <c r="A701" s="99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</row>
    <row r="702" ht="14.25" customHeight="1">
      <c r="A702" s="99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</row>
    <row r="703" ht="14.25" customHeight="1">
      <c r="A703" s="99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</row>
    <row r="704" ht="14.25" customHeight="1">
      <c r="A704" s="99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</row>
    <row r="705" ht="14.25" customHeight="1">
      <c r="A705" s="99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</row>
    <row r="706" ht="14.25" customHeight="1">
      <c r="A706" s="99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</row>
    <row r="707" ht="14.25" customHeight="1">
      <c r="A707" s="99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</row>
    <row r="708" ht="14.25" customHeight="1">
      <c r="A708" s="99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</row>
    <row r="709" ht="14.25" customHeight="1">
      <c r="A709" s="99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</row>
    <row r="710" ht="14.25" customHeight="1">
      <c r="A710" s="99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</row>
    <row r="711" ht="14.25" customHeight="1">
      <c r="A711" s="99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</row>
    <row r="712" ht="14.25" customHeight="1">
      <c r="A712" s="99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</row>
    <row r="713" ht="14.25" customHeight="1">
      <c r="A713" s="99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</row>
    <row r="714" ht="14.25" customHeight="1">
      <c r="A714" s="99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</row>
    <row r="715" ht="14.25" customHeight="1">
      <c r="A715" s="99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</row>
    <row r="716" ht="14.25" customHeight="1">
      <c r="A716" s="99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</row>
    <row r="717" ht="14.25" customHeight="1">
      <c r="A717" s="99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</row>
    <row r="718" ht="14.25" customHeight="1">
      <c r="A718" s="99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</row>
    <row r="719" ht="14.25" customHeight="1">
      <c r="A719" s="99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</row>
    <row r="720" ht="14.25" customHeight="1">
      <c r="A720" s="99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</row>
    <row r="721" ht="14.25" customHeight="1">
      <c r="A721" s="99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</row>
    <row r="722" ht="14.25" customHeight="1">
      <c r="A722" s="99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</row>
    <row r="723" ht="14.25" customHeight="1">
      <c r="A723" s="99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</row>
    <row r="724" ht="14.25" customHeight="1">
      <c r="A724" s="99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</row>
    <row r="725" ht="14.25" customHeight="1">
      <c r="A725" s="99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</row>
    <row r="726" ht="14.25" customHeight="1">
      <c r="A726" s="99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</row>
    <row r="727" ht="14.25" customHeight="1">
      <c r="A727" s="99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</row>
    <row r="728" ht="14.25" customHeight="1">
      <c r="A728" s="99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</row>
    <row r="729" ht="14.25" customHeight="1">
      <c r="A729" s="99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</row>
    <row r="730" ht="14.25" customHeight="1">
      <c r="A730" s="99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</row>
    <row r="731" ht="14.25" customHeight="1">
      <c r="A731" s="99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</row>
    <row r="732" ht="14.25" customHeight="1">
      <c r="A732" s="99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</row>
    <row r="733" ht="14.25" customHeight="1">
      <c r="A733" s="99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</row>
    <row r="734" ht="14.25" customHeight="1">
      <c r="A734" s="99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</row>
    <row r="735" ht="14.25" customHeight="1">
      <c r="A735" s="99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</row>
    <row r="736" ht="14.25" customHeight="1">
      <c r="A736" s="99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</row>
    <row r="737" ht="14.25" customHeight="1">
      <c r="A737" s="99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</row>
    <row r="738" ht="14.25" customHeight="1">
      <c r="A738" s="99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</row>
    <row r="739" ht="14.25" customHeight="1">
      <c r="A739" s="99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</row>
    <row r="740" ht="14.25" customHeight="1">
      <c r="A740" s="99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</row>
    <row r="741" ht="14.25" customHeight="1">
      <c r="A741" s="99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</row>
    <row r="742" ht="14.25" customHeight="1">
      <c r="A742" s="99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</row>
    <row r="743" ht="14.25" customHeight="1">
      <c r="A743" s="99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</row>
    <row r="744" ht="14.25" customHeight="1">
      <c r="A744" s="99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</row>
    <row r="745" ht="14.25" customHeight="1">
      <c r="A745" s="99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</row>
    <row r="746" ht="14.25" customHeight="1">
      <c r="A746" s="99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</row>
    <row r="747" ht="14.25" customHeight="1">
      <c r="A747" s="99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</row>
    <row r="748" ht="14.25" customHeight="1">
      <c r="A748" s="99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</row>
    <row r="749" ht="14.25" customHeight="1">
      <c r="A749" s="99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</row>
    <row r="750" ht="14.25" customHeight="1">
      <c r="A750" s="99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</row>
    <row r="751" ht="14.25" customHeight="1">
      <c r="A751" s="99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</row>
    <row r="752" ht="14.25" customHeight="1">
      <c r="A752" s="99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</row>
    <row r="753" ht="14.25" customHeight="1">
      <c r="A753" s="99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</row>
    <row r="754" ht="14.25" customHeight="1">
      <c r="A754" s="99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</row>
    <row r="755" ht="14.25" customHeight="1">
      <c r="A755" s="99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</row>
    <row r="756" ht="14.25" customHeight="1">
      <c r="A756" s="99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</row>
    <row r="757" ht="14.25" customHeight="1">
      <c r="A757" s="99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</row>
    <row r="758" ht="14.25" customHeight="1">
      <c r="A758" s="99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</row>
    <row r="759" ht="14.25" customHeight="1">
      <c r="A759" s="99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</row>
    <row r="760" ht="14.25" customHeight="1">
      <c r="A760" s="99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</row>
    <row r="761" ht="14.25" customHeight="1">
      <c r="A761" s="99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</row>
    <row r="762" ht="14.25" customHeight="1">
      <c r="A762" s="99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</row>
    <row r="763" ht="14.25" customHeight="1">
      <c r="A763" s="99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</row>
    <row r="764" ht="14.25" customHeight="1">
      <c r="A764" s="99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</row>
    <row r="765" ht="14.25" customHeight="1">
      <c r="A765" s="99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</row>
    <row r="766" ht="14.25" customHeight="1">
      <c r="A766" s="99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</row>
    <row r="767" ht="14.25" customHeight="1">
      <c r="A767" s="99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</row>
    <row r="768" ht="14.25" customHeight="1">
      <c r="A768" s="99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</row>
    <row r="769" ht="14.25" customHeight="1">
      <c r="A769" s="99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</row>
    <row r="770" ht="14.25" customHeight="1">
      <c r="A770" s="99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</row>
    <row r="771" ht="14.25" customHeight="1">
      <c r="A771" s="99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</row>
    <row r="772" ht="14.25" customHeight="1">
      <c r="A772" s="99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</row>
    <row r="773" ht="14.25" customHeight="1">
      <c r="A773" s="99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</row>
    <row r="774" ht="14.25" customHeight="1">
      <c r="A774" s="99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</row>
    <row r="775" ht="14.25" customHeight="1">
      <c r="A775" s="99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</row>
    <row r="776" ht="14.25" customHeight="1">
      <c r="A776" s="99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</row>
    <row r="777" ht="14.25" customHeight="1">
      <c r="A777" s="99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</row>
    <row r="778" ht="14.25" customHeight="1">
      <c r="A778" s="99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</row>
    <row r="779" ht="14.25" customHeight="1">
      <c r="A779" s="99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</row>
    <row r="780" ht="14.25" customHeight="1">
      <c r="A780" s="99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</row>
    <row r="781" ht="14.25" customHeight="1">
      <c r="A781" s="99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</row>
    <row r="782" ht="14.25" customHeight="1">
      <c r="A782" s="99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</row>
    <row r="783" ht="14.25" customHeight="1">
      <c r="A783" s="99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</row>
    <row r="784" ht="14.25" customHeight="1">
      <c r="A784" s="99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</row>
    <row r="785" ht="14.25" customHeight="1">
      <c r="A785" s="99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</row>
    <row r="786" ht="14.25" customHeight="1">
      <c r="A786" s="99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</row>
    <row r="787" ht="14.25" customHeight="1">
      <c r="A787" s="99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</row>
    <row r="788" ht="14.25" customHeight="1">
      <c r="A788" s="99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</row>
    <row r="789" ht="14.25" customHeight="1">
      <c r="A789" s="99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</row>
    <row r="790" ht="14.25" customHeight="1">
      <c r="A790" s="99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</row>
    <row r="791" ht="14.25" customHeight="1">
      <c r="A791" s="99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</row>
    <row r="792" ht="14.25" customHeight="1">
      <c r="A792" s="99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</row>
    <row r="793" ht="14.25" customHeight="1">
      <c r="A793" s="99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</row>
    <row r="794" ht="14.25" customHeight="1">
      <c r="A794" s="99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</row>
    <row r="795" ht="14.25" customHeight="1">
      <c r="A795" s="99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</row>
    <row r="796" ht="14.25" customHeight="1">
      <c r="A796" s="99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</row>
    <row r="797" ht="14.25" customHeight="1">
      <c r="A797" s="99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</row>
    <row r="798" ht="14.25" customHeight="1">
      <c r="A798" s="99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</row>
    <row r="799" ht="14.25" customHeight="1">
      <c r="A799" s="99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</row>
    <row r="800" ht="14.25" customHeight="1">
      <c r="A800" s="99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</row>
    <row r="801" ht="14.25" customHeight="1">
      <c r="A801" s="99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</row>
    <row r="802" ht="14.25" customHeight="1">
      <c r="A802" s="99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</row>
    <row r="803" ht="14.25" customHeight="1">
      <c r="A803" s="99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</row>
    <row r="804" ht="14.25" customHeight="1">
      <c r="A804" s="99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</row>
    <row r="805" ht="14.25" customHeight="1">
      <c r="A805" s="99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</row>
    <row r="806" ht="14.25" customHeight="1">
      <c r="A806" s="99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</row>
    <row r="807" ht="14.25" customHeight="1">
      <c r="A807" s="99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</row>
    <row r="808" ht="14.25" customHeight="1">
      <c r="A808" s="99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</row>
    <row r="809" ht="14.25" customHeight="1">
      <c r="A809" s="99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</row>
    <row r="810" ht="14.25" customHeight="1">
      <c r="A810" s="99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</row>
    <row r="811" ht="14.25" customHeight="1">
      <c r="A811" s="99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</row>
    <row r="812" ht="14.25" customHeight="1">
      <c r="A812" s="99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</row>
    <row r="813" ht="14.25" customHeight="1">
      <c r="A813" s="99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</row>
    <row r="814" ht="14.25" customHeight="1">
      <c r="A814" s="99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</row>
    <row r="815" ht="14.25" customHeight="1">
      <c r="A815" s="99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</row>
    <row r="816" ht="14.25" customHeight="1">
      <c r="A816" s="99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</row>
    <row r="817" ht="14.25" customHeight="1">
      <c r="A817" s="99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</row>
    <row r="818" ht="14.25" customHeight="1">
      <c r="A818" s="99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</row>
    <row r="819" ht="14.25" customHeight="1">
      <c r="A819" s="99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</row>
    <row r="820" ht="14.25" customHeight="1">
      <c r="A820" s="99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</row>
    <row r="821" ht="14.25" customHeight="1">
      <c r="A821" s="99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</row>
    <row r="822" ht="14.25" customHeight="1">
      <c r="A822" s="99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</row>
    <row r="823" ht="14.25" customHeight="1">
      <c r="A823" s="99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</row>
    <row r="824" ht="14.25" customHeight="1">
      <c r="A824" s="99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</row>
    <row r="825" ht="14.25" customHeight="1">
      <c r="A825" s="99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</row>
    <row r="826" ht="14.25" customHeight="1">
      <c r="A826" s="99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</row>
    <row r="827" ht="14.25" customHeight="1">
      <c r="A827" s="99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</row>
    <row r="828" ht="14.25" customHeight="1">
      <c r="A828" s="99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</row>
    <row r="829" ht="14.25" customHeight="1">
      <c r="A829" s="99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</row>
    <row r="830" ht="14.25" customHeight="1">
      <c r="A830" s="99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</row>
    <row r="831" ht="14.25" customHeight="1">
      <c r="A831" s="99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</row>
    <row r="832" ht="14.25" customHeight="1">
      <c r="A832" s="99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</row>
    <row r="833" ht="14.25" customHeight="1">
      <c r="A833" s="99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</row>
    <row r="834" ht="14.25" customHeight="1">
      <c r="A834" s="99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</row>
    <row r="835" ht="14.25" customHeight="1">
      <c r="A835" s="99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</row>
    <row r="836" ht="14.25" customHeight="1">
      <c r="A836" s="99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</row>
    <row r="837" ht="14.25" customHeight="1">
      <c r="A837" s="99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</row>
    <row r="838" ht="14.25" customHeight="1">
      <c r="A838" s="99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</row>
    <row r="839" ht="14.25" customHeight="1">
      <c r="A839" s="99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</row>
    <row r="840" ht="14.25" customHeight="1">
      <c r="A840" s="99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</row>
    <row r="841" ht="14.25" customHeight="1">
      <c r="A841" s="99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</row>
    <row r="842" ht="14.25" customHeight="1">
      <c r="A842" s="99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</row>
    <row r="843" ht="14.25" customHeight="1">
      <c r="A843" s="99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</row>
    <row r="844" ht="14.25" customHeight="1">
      <c r="A844" s="99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</row>
    <row r="845" ht="14.25" customHeight="1">
      <c r="A845" s="99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</row>
    <row r="846" ht="14.25" customHeight="1">
      <c r="A846" s="99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</row>
    <row r="847" ht="14.25" customHeight="1">
      <c r="A847" s="99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</row>
    <row r="848" ht="14.25" customHeight="1">
      <c r="A848" s="99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</row>
    <row r="849" ht="14.25" customHeight="1">
      <c r="A849" s="99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</row>
    <row r="850" ht="14.25" customHeight="1">
      <c r="A850" s="99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</row>
    <row r="851" ht="14.25" customHeight="1">
      <c r="A851" s="99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</row>
    <row r="852" ht="14.25" customHeight="1">
      <c r="A852" s="99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</row>
    <row r="853" ht="14.25" customHeight="1">
      <c r="A853" s="99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</row>
    <row r="854" ht="14.25" customHeight="1">
      <c r="A854" s="99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</row>
    <row r="855" ht="14.25" customHeight="1">
      <c r="A855" s="99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</row>
    <row r="856" ht="14.25" customHeight="1">
      <c r="A856" s="99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</row>
    <row r="857" ht="14.25" customHeight="1">
      <c r="A857" s="99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</row>
    <row r="858" ht="14.25" customHeight="1">
      <c r="A858" s="99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</row>
    <row r="859" ht="14.25" customHeight="1">
      <c r="A859" s="99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</row>
    <row r="860" ht="14.25" customHeight="1">
      <c r="A860" s="99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</row>
    <row r="861" ht="14.25" customHeight="1">
      <c r="A861" s="99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</row>
    <row r="862" ht="14.25" customHeight="1">
      <c r="A862" s="99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</row>
    <row r="863" ht="14.25" customHeight="1">
      <c r="A863" s="99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</row>
    <row r="864" ht="14.25" customHeight="1">
      <c r="A864" s="99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</row>
    <row r="865" ht="14.25" customHeight="1">
      <c r="A865" s="99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</row>
    <row r="866" ht="14.25" customHeight="1">
      <c r="A866" s="99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</row>
    <row r="867" ht="14.25" customHeight="1">
      <c r="A867" s="99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</row>
    <row r="868" ht="14.25" customHeight="1">
      <c r="A868" s="99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</row>
    <row r="869" ht="14.25" customHeight="1">
      <c r="A869" s="99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</row>
    <row r="870" ht="14.25" customHeight="1">
      <c r="A870" s="99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</row>
    <row r="871" ht="14.25" customHeight="1">
      <c r="A871" s="99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</row>
    <row r="872" ht="14.25" customHeight="1">
      <c r="A872" s="99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</row>
    <row r="873" ht="14.25" customHeight="1">
      <c r="A873" s="99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</row>
    <row r="874" ht="14.25" customHeight="1">
      <c r="A874" s="99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</row>
    <row r="875" ht="14.25" customHeight="1">
      <c r="A875" s="99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</row>
    <row r="876" ht="14.25" customHeight="1">
      <c r="A876" s="99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</row>
    <row r="877" ht="14.25" customHeight="1">
      <c r="A877" s="99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</row>
    <row r="878" ht="14.25" customHeight="1">
      <c r="A878" s="99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</row>
    <row r="879" ht="14.25" customHeight="1">
      <c r="A879" s="99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</row>
    <row r="880" ht="14.25" customHeight="1">
      <c r="A880" s="99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</row>
    <row r="881" ht="14.25" customHeight="1">
      <c r="A881" s="99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</row>
    <row r="882" ht="14.25" customHeight="1">
      <c r="A882" s="99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</row>
    <row r="883" ht="14.25" customHeight="1">
      <c r="A883" s="99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</row>
    <row r="884" ht="14.25" customHeight="1">
      <c r="A884" s="99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</row>
    <row r="885" ht="14.25" customHeight="1">
      <c r="A885" s="99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</row>
    <row r="886" ht="14.25" customHeight="1">
      <c r="A886" s="99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</row>
    <row r="887" ht="14.25" customHeight="1">
      <c r="A887" s="99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</row>
    <row r="888" ht="14.25" customHeight="1">
      <c r="A888" s="99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</row>
    <row r="889" ht="14.25" customHeight="1">
      <c r="A889" s="99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</row>
    <row r="890" ht="14.25" customHeight="1">
      <c r="A890" s="99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</row>
    <row r="891" ht="14.25" customHeight="1">
      <c r="A891" s="99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</row>
    <row r="892" ht="14.25" customHeight="1">
      <c r="A892" s="99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</row>
    <row r="893" ht="14.25" customHeight="1">
      <c r="A893" s="99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</row>
    <row r="894" ht="14.25" customHeight="1">
      <c r="A894" s="99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</row>
    <row r="895" ht="14.25" customHeight="1">
      <c r="A895" s="99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</row>
    <row r="896" ht="14.25" customHeight="1">
      <c r="A896" s="99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</row>
    <row r="897" ht="14.25" customHeight="1">
      <c r="A897" s="99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</row>
    <row r="898" ht="14.25" customHeight="1">
      <c r="A898" s="99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</row>
    <row r="899" ht="14.25" customHeight="1">
      <c r="A899" s="99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</row>
    <row r="900" ht="14.25" customHeight="1">
      <c r="A900" s="99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</row>
    <row r="901" ht="14.25" customHeight="1">
      <c r="A901" s="99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</row>
    <row r="902" ht="14.25" customHeight="1">
      <c r="A902" s="99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</row>
    <row r="903" ht="14.25" customHeight="1">
      <c r="A903" s="99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</row>
    <row r="904" ht="14.25" customHeight="1">
      <c r="A904" s="99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</row>
    <row r="905" ht="14.25" customHeight="1">
      <c r="A905" s="99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</row>
    <row r="906" ht="14.25" customHeight="1">
      <c r="A906" s="99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</row>
    <row r="907" ht="14.25" customHeight="1">
      <c r="A907" s="99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</row>
    <row r="908" ht="14.25" customHeight="1">
      <c r="A908" s="99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</row>
    <row r="909" ht="14.25" customHeight="1">
      <c r="A909" s="99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</row>
    <row r="910" ht="14.25" customHeight="1">
      <c r="A910" s="99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</row>
    <row r="911" ht="14.25" customHeight="1">
      <c r="A911" s="99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</row>
    <row r="912" ht="14.25" customHeight="1">
      <c r="A912" s="99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</row>
    <row r="913" ht="14.25" customHeight="1">
      <c r="A913" s="99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</row>
    <row r="914" ht="14.25" customHeight="1">
      <c r="A914" s="99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</row>
    <row r="915" ht="14.25" customHeight="1">
      <c r="A915" s="99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</row>
    <row r="916" ht="14.25" customHeight="1">
      <c r="A916" s="99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</row>
    <row r="917" ht="14.25" customHeight="1">
      <c r="A917" s="99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</row>
    <row r="918" ht="14.25" customHeight="1">
      <c r="A918" s="99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</row>
    <row r="919" ht="14.25" customHeight="1">
      <c r="A919" s="99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</row>
    <row r="920" ht="14.25" customHeight="1">
      <c r="A920" s="99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</row>
    <row r="921" ht="14.25" customHeight="1">
      <c r="A921" s="99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</row>
    <row r="922" ht="14.25" customHeight="1">
      <c r="A922" s="99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</row>
    <row r="923" ht="14.25" customHeight="1">
      <c r="A923" s="99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</row>
    <row r="924" ht="14.25" customHeight="1">
      <c r="A924" s="99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</row>
    <row r="925" ht="14.25" customHeight="1">
      <c r="A925" s="99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</row>
    <row r="926" ht="14.25" customHeight="1">
      <c r="A926" s="99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</row>
    <row r="927" ht="14.25" customHeight="1">
      <c r="A927" s="99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</row>
    <row r="928" ht="14.25" customHeight="1">
      <c r="A928" s="99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</row>
    <row r="929" ht="14.25" customHeight="1">
      <c r="A929" s="99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</row>
    <row r="930" ht="14.25" customHeight="1">
      <c r="A930" s="99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</row>
    <row r="931" ht="14.25" customHeight="1">
      <c r="A931" s="99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</row>
    <row r="932" ht="14.25" customHeight="1">
      <c r="A932" s="99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</row>
    <row r="933" ht="14.25" customHeight="1">
      <c r="A933" s="99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</row>
    <row r="934" ht="14.25" customHeight="1">
      <c r="A934" s="99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</row>
    <row r="935" ht="14.25" customHeight="1">
      <c r="A935" s="99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</row>
    <row r="936" ht="14.25" customHeight="1">
      <c r="A936" s="99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</row>
    <row r="937" ht="14.25" customHeight="1">
      <c r="A937" s="99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</row>
    <row r="938" ht="14.25" customHeight="1">
      <c r="A938" s="99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</row>
    <row r="939" ht="14.25" customHeight="1">
      <c r="A939" s="99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</row>
    <row r="940" ht="14.25" customHeight="1">
      <c r="A940" s="99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</row>
    <row r="941" ht="14.25" customHeight="1">
      <c r="A941" s="99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</row>
    <row r="942" ht="14.25" customHeight="1">
      <c r="A942" s="99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</row>
    <row r="943" ht="14.25" customHeight="1">
      <c r="A943" s="99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</row>
    <row r="944" ht="14.25" customHeight="1">
      <c r="A944" s="99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</row>
    <row r="945" ht="14.25" customHeight="1">
      <c r="A945" s="99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</row>
    <row r="946" ht="14.25" customHeight="1">
      <c r="A946" s="99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</row>
    <row r="947" ht="14.25" customHeight="1">
      <c r="A947" s="99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</row>
    <row r="948" ht="14.25" customHeight="1">
      <c r="A948" s="99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</row>
    <row r="949" ht="14.25" customHeight="1">
      <c r="A949" s="99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</row>
    <row r="950" ht="14.25" customHeight="1">
      <c r="A950" s="99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</row>
    <row r="951" ht="14.25" customHeight="1">
      <c r="A951" s="99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</row>
    <row r="952" ht="14.25" customHeight="1">
      <c r="A952" s="99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</row>
    <row r="953" ht="14.25" customHeight="1">
      <c r="A953" s="99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</row>
    <row r="954" ht="14.25" customHeight="1">
      <c r="A954" s="99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</row>
    <row r="955" ht="14.25" customHeight="1">
      <c r="A955" s="99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</row>
    <row r="956" ht="14.25" customHeight="1">
      <c r="A956" s="99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</row>
    <row r="957" ht="14.25" customHeight="1">
      <c r="A957" s="99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</row>
    <row r="958" ht="14.25" customHeight="1">
      <c r="A958" s="99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</row>
    <row r="959" ht="14.25" customHeight="1">
      <c r="A959" s="99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</row>
    <row r="960" ht="14.25" customHeight="1">
      <c r="A960" s="99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</row>
    <row r="961" ht="14.25" customHeight="1">
      <c r="A961" s="99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</row>
    <row r="962" ht="14.25" customHeight="1">
      <c r="A962" s="99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</row>
    <row r="963" ht="14.25" customHeight="1">
      <c r="A963" s="99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</row>
    <row r="964" ht="14.25" customHeight="1">
      <c r="A964" s="99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</row>
    <row r="965" ht="14.25" customHeight="1">
      <c r="A965" s="99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</row>
    <row r="966" ht="14.25" customHeight="1">
      <c r="A966" s="99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</row>
    <row r="967" ht="14.25" customHeight="1">
      <c r="A967" s="99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</row>
    <row r="968" ht="14.25" customHeight="1">
      <c r="A968" s="99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</row>
    <row r="969" ht="14.25" customHeight="1">
      <c r="A969" s="99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</row>
    <row r="970" ht="14.25" customHeight="1">
      <c r="A970" s="99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</row>
    <row r="971" ht="14.25" customHeight="1">
      <c r="A971" s="99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</row>
    <row r="972" ht="14.25" customHeight="1">
      <c r="A972" s="99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</row>
    <row r="973" ht="14.25" customHeight="1">
      <c r="A973" s="99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</row>
    <row r="974" ht="14.25" customHeight="1">
      <c r="A974" s="99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</row>
    <row r="975" ht="14.25" customHeight="1">
      <c r="A975" s="99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</row>
    <row r="976" ht="14.25" customHeight="1">
      <c r="A976" s="99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</row>
    <row r="977" ht="14.25" customHeight="1">
      <c r="A977" s="99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</row>
    <row r="978" ht="14.25" customHeight="1">
      <c r="A978" s="99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</row>
    <row r="979" ht="14.25" customHeight="1">
      <c r="A979" s="99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</row>
    <row r="980" ht="14.25" customHeight="1">
      <c r="A980" s="99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</row>
    <row r="981" ht="14.25" customHeight="1">
      <c r="A981" s="99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</row>
    <row r="982" ht="14.25" customHeight="1">
      <c r="A982" s="99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</row>
    <row r="983" ht="14.25" customHeight="1">
      <c r="A983" s="99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</row>
    <row r="984" ht="14.25" customHeight="1">
      <c r="A984" s="99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</row>
    <row r="985" ht="14.25" customHeight="1">
      <c r="A985" s="99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</row>
    <row r="986" ht="14.25" customHeight="1">
      <c r="A986" s="99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</row>
    <row r="987" ht="14.25" customHeight="1">
      <c r="A987" s="99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</row>
    <row r="988" ht="14.25" customHeight="1">
      <c r="A988" s="99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</row>
    <row r="989" ht="14.25" customHeight="1">
      <c r="A989" s="99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</row>
    <row r="990" ht="14.25" customHeight="1">
      <c r="A990" s="99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</row>
    <row r="991" ht="14.25" customHeight="1">
      <c r="A991" s="99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</row>
    <row r="992" ht="14.25" customHeight="1">
      <c r="A992" s="99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</row>
    <row r="993" ht="14.25" customHeight="1">
      <c r="A993" s="99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</row>
    <row r="994" ht="14.25" customHeight="1">
      <c r="A994" s="99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</row>
    <row r="995" ht="14.25" customHeight="1">
      <c r="A995" s="99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</row>
    <row r="996" ht="14.25" customHeight="1">
      <c r="A996" s="99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</row>
    <row r="997" ht="14.25" customHeight="1">
      <c r="A997" s="99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</row>
    <row r="998" ht="14.25" customHeight="1">
      <c r="A998" s="99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</row>
    <row r="999" ht="14.25" customHeight="1">
      <c r="A999" s="99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</row>
    <row r="1000" ht="14.25" customHeight="1">
      <c r="A1000" s="99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</row>
    <row r="1001" ht="14.25" customHeight="1">
      <c r="A1001" s="99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  <c r="AB1001" s="101"/>
      <c r="AC1001" s="101"/>
    </row>
    <row r="1002" ht="14.25" customHeight="1">
      <c r="A1002" s="99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  <c r="AB1002" s="101"/>
      <c r="AC1002" s="101"/>
    </row>
    <row r="1003" ht="14.25" customHeight="1">
      <c r="A1003" s="99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  <c r="AB1003" s="101"/>
      <c r="AC1003" s="101"/>
    </row>
    <row r="1004" ht="14.25" customHeight="1">
      <c r="A1004" s="99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  <c r="AB1004" s="101"/>
      <c r="AC1004" s="101"/>
    </row>
    <row r="1005" ht="14.25" customHeight="1">
      <c r="A1005" s="99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</row>
    <row r="1006" ht="14.25" customHeight="1">
      <c r="A1006" s="99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  <c r="AB1006" s="101"/>
      <c r="AC1006" s="101"/>
    </row>
    <row r="1007" ht="14.25" customHeight="1">
      <c r="A1007" s="99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  <c r="AB1007" s="101"/>
      <c r="AC1007" s="101"/>
    </row>
    <row r="1008" ht="14.25" customHeight="1">
      <c r="A1008" s="99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  <c r="AB1008" s="101"/>
      <c r="AC1008" s="101"/>
    </row>
    <row r="1009" ht="14.25" customHeight="1">
      <c r="A1009" s="99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  <c r="AB1009" s="101"/>
      <c r="AC1009" s="101"/>
    </row>
    <row r="1010" ht="14.25" customHeight="1">
      <c r="A1010" s="99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  <c r="AB1010" s="101"/>
      <c r="AC1010" s="101"/>
    </row>
    <row r="1011" ht="14.25" customHeight="1">
      <c r="A1011" s="99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  <c r="AB1011" s="101"/>
      <c r="AC1011" s="101"/>
    </row>
    <row r="1012" ht="14.25" customHeight="1">
      <c r="A1012" s="99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  <c r="AB1012" s="101"/>
      <c r="AC1012" s="101"/>
    </row>
    <row r="1013" ht="14.25" customHeight="1">
      <c r="A1013" s="99"/>
      <c r="B1013" s="101"/>
      <c r="C1013" s="101"/>
      <c r="D1013" s="101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  <c r="AB1013" s="101"/>
      <c r="AC1013" s="101"/>
    </row>
    <row r="1014" ht="14.25" customHeight="1">
      <c r="A1014" s="99"/>
      <c r="B1014" s="101"/>
      <c r="C1014" s="101"/>
      <c r="D1014" s="101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  <c r="AA1014" s="101"/>
      <c r="AB1014" s="101"/>
      <c r="AC1014" s="101"/>
    </row>
    <row r="1015" ht="14.25" customHeight="1">
      <c r="A1015" s="99"/>
      <c r="B1015" s="101"/>
      <c r="C1015" s="101"/>
      <c r="D1015" s="101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  <c r="AA1015" s="101"/>
      <c r="AB1015" s="101"/>
      <c r="AC1015" s="101"/>
    </row>
    <row r="1016" ht="14.25" customHeight="1">
      <c r="A1016" s="99"/>
      <c r="B1016" s="101"/>
      <c r="C1016" s="101"/>
      <c r="D1016" s="101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  <c r="AA1016" s="101"/>
      <c r="AB1016" s="101"/>
      <c r="AC1016" s="101"/>
    </row>
    <row r="1017" ht="14.25" customHeight="1">
      <c r="A1017" s="99"/>
      <c r="B1017" s="101"/>
      <c r="C1017" s="101"/>
      <c r="D1017" s="101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  <c r="AA1017" s="101"/>
      <c r="AB1017" s="101"/>
      <c r="AC1017" s="101"/>
    </row>
    <row r="1018" ht="14.25" customHeight="1">
      <c r="A1018" s="99"/>
      <c r="B1018" s="101"/>
      <c r="C1018" s="101"/>
      <c r="D1018" s="101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  <c r="Z1018" s="101"/>
      <c r="AA1018" s="101"/>
      <c r="AB1018" s="101"/>
      <c r="AC1018" s="101"/>
    </row>
    <row r="1019" ht="14.25" customHeight="1">
      <c r="A1019" s="99"/>
      <c r="B1019" s="101"/>
      <c r="C1019" s="101"/>
      <c r="D1019" s="101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  <c r="Z1019" s="101"/>
      <c r="AA1019" s="101"/>
      <c r="AB1019" s="101"/>
      <c r="AC1019" s="101"/>
    </row>
    <row r="1020" ht="14.25" customHeight="1">
      <c r="A1020" s="99"/>
      <c r="B1020" s="101"/>
      <c r="C1020" s="101"/>
      <c r="D1020" s="101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  <c r="Z1020" s="101"/>
      <c r="AA1020" s="101"/>
      <c r="AB1020" s="101"/>
      <c r="AC1020" s="101"/>
    </row>
    <row r="1021" ht="14.25" customHeight="1">
      <c r="A1021" s="99"/>
      <c r="B1021" s="101"/>
      <c r="C1021" s="101"/>
      <c r="D1021" s="101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  <c r="Z1021" s="101"/>
      <c r="AA1021" s="101"/>
      <c r="AB1021" s="101"/>
      <c r="AC1021" s="101"/>
    </row>
    <row r="1022" ht="14.25" customHeight="1">
      <c r="A1022" s="99"/>
      <c r="B1022" s="101"/>
      <c r="C1022" s="101"/>
      <c r="D1022" s="101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  <c r="Z1022" s="101"/>
      <c r="AA1022" s="101"/>
      <c r="AB1022" s="101"/>
      <c r="AC1022" s="101"/>
    </row>
    <row r="1023" ht="14.25" customHeight="1">
      <c r="A1023" s="99"/>
      <c r="B1023" s="101"/>
      <c r="C1023" s="101"/>
      <c r="D1023" s="101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  <c r="Z1023" s="101"/>
      <c r="AA1023" s="101"/>
      <c r="AB1023" s="101"/>
      <c r="AC1023" s="101"/>
    </row>
    <row r="1024" ht="14.25" customHeight="1">
      <c r="A1024" s="99"/>
      <c r="B1024" s="101"/>
      <c r="C1024" s="101"/>
      <c r="D1024" s="101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  <c r="Z1024" s="101"/>
      <c r="AA1024" s="101"/>
      <c r="AB1024" s="101"/>
      <c r="AC1024" s="101"/>
    </row>
    <row r="1025" ht="14.25" customHeight="1">
      <c r="A1025" s="99"/>
      <c r="B1025" s="101"/>
      <c r="C1025" s="101"/>
      <c r="D1025" s="101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  <c r="Z1025" s="101"/>
      <c r="AA1025" s="101"/>
      <c r="AB1025" s="101"/>
      <c r="AC1025" s="101"/>
    </row>
    <row r="1026" ht="14.25" customHeight="1">
      <c r="A1026" s="99"/>
      <c r="B1026" s="101"/>
      <c r="C1026" s="101"/>
      <c r="D1026" s="101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  <c r="Z1026" s="101"/>
      <c r="AA1026" s="101"/>
      <c r="AB1026" s="101"/>
      <c r="AC1026" s="101"/>
    </row>
    <row r="1027" ht="14.25" customHeight="1">
      <c r="A1027" s="99"/>
      <c r="B1027" s="101"/>
      <c r="C1027" s="101"/>
      <c r="D1027" s="101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  <c r="Z1027" s="101"/>
      <c r="AA1027" s="101"/>
      <c r="AB1027" s="101"/>
      <c r="AC1027" s="101"/>
    </row>
    <row r="1028" ht="14.25" customHeight="1">
      <c r="A1028" s="99"/>
      <c r="B1028" s="101"/>
      <c r="C1028" s="101"/>
      <c r="D1028" s="101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  <c r="Z1028" s="101"/>
      <c r="AA1028" s="101"/>
      <c r="AB1028" s="101"/>
      <c r="AC1028" s="101"/>
    </row>
    <row r="1029" ht="14.25" customHeight="1">
      <c r="A1029" s="99"/>
      <c r="B1029" s="101"/>
      <c r="C1029" s="101"/>
      <c r="D1029" s="101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  <c r="Z1029" s="101"/>
      <c r="AA1029" s="101"/>
      <c r="AB1029" s="101"/>
      <c r="AC1029" s="101"/>
    </row>
    <row r="1030" ht="14.25" customHeight="1">
      <c r="A1030" s="99"/>
      <c r="B1030" s="101"/>
      <c r="C1030" s="101"/>
      <c r="D1030" s="101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01"/>
      <c r="Z1030" s="101"/>
      <c r="AA1030" s="101"/>
      <c r="AB1030" s="101"/>
      <c r="AC1030" s="101"/>
    </row>
    <row r="1031" ht="14.25" customHeight="1">
      <c r="A1031" s="99"/>
      <c r="B1031" s="101"/>
      <c r="C1031" s="101"/>
      <c r="D1031" s="101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01"/>
      <c r="Z1031" s="101"/>
      <c r="AA1031" s="101"/>
      <c r="AB1031" s="101"/>
      <c r="AC1031" s="101"/>
    </row>
    <row r="1032" ht="14.25" customHeight="1">
      <c r="A1032" s="99"/>
      <c r="B1032" s="101"/>
      <c r="C1032" s="101"/>
      <c r="D1032" s="101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01"/>
      <c r="Z1032" s="101"/>
      <c r="AA1032" s="101"/>
      <c r="AB1032" s="101"/>
      <c r="AC1032" s="101"/>
    </row>
    <row r="1033" ht="14.25" customHeight="1">
      <c r="A1033" s="99"/>
      <c r="B1033" s="101"/>
      <c r="C1033" s="101"/>
      <c r="D1033" s="101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01"/>
      <c r="Z1033" s="101"/>
      <c r="AA1033" s="101"/>
      <c r="AB1033" s="101"/>
      <c r="AC1033" s="101"/>
    </row>
    <row r="1034" ht="14.25" customHeight="1">
      <c r="A1034" s="99"/>
      <c r="B1034" s="101"/>
      <c r="C1034" s="101"/>
      <c r="D1034" s="101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01"/>
      <c r="Z1034" s="101"/>
      <c r="AA1034" s="101"/>
      <c r="AB1034" s="101"/>
      <c r="AC1034" s="101"/>
    </row>
    <row r="1035" ht="14.25" customHeight="1">
      <c r="A1035" s="99"/>
      <c r="B1035" s="101"/>
      <c r="C1035" s="101"/>
      <c r="D1035" s="101"/>
      <c r="E1035" s="101"/>
      <c r="F1035" s="101"/>
      <c r="G1035" s="10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  <c r="Y1035" s="101"/>
      <c r="Z1035" s="101"/>
      <c r="AA1035" s="101"/>
      <c r="AB1035" s="101"/>
      <c r="AC1035" s="101"/>
    </row>
    <row r="1036" ht="14.25" customHeight="1">
      <c r="A1036" s="99"/>
      <c r="B1036" s="101"/>
      <c r="C1036" s="101"/>
      <c r="D1036" s="101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  <c r="Y1036" s="101"/>
      <c r="Z1036" s="101"/>
      <c r="AA1036" s="101"/>
      <c r="AB1036" s="101"/>
      <c r="AC1036" s="101"/>
    </row>
    <row r="1037" ht="14.25" customHeight="1">
      <c r="A1037" s="99"/>
      <c r="B1037" s="101"/>
      <c r="C1037" s="101"/>
      <c r="D1037" s="101"/>
      <c r="E1037" s="101"/>
      <c r="F1037" s="101"/>
      <c r="G1037" s="10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  <c r="Y1037" s="101"/>
      <c r="Z1037" s="101"/>
      <c r="AA1037" s="101"/>
      <c r="AB1037" s="101"/>
      <c r="AC1037" s="101"/>
    </row>
    <row r="1038" ht="14.25" customHeight="1">
      <c r="A1038" s="99"/>
      <c r="B1038" s="101"/>
      <c r="C1038" s="101"/>
      <c r="D1038" s="101"/>
      <c r="E1038" s="101"/>
      <c r="F1038" s="101"/>
      <c r="G1038" s="10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  <c r="Y1038" s="101"/>
      <c r="Z1038" s="101"/>
      <c r="AA1038" s="101"/>
      <c r="AB1038" s="101"/>
      <c r="AC1038" s="101"/>
    </row>
    <row r="1039" ht="14.25" customHeight="1">
      <c r="A1039" s="99"/>
      <c r="B1039" s="101"/>
      <c r="C1039" s="101"/>
      <c r="D1039" s="101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  <c r="Y1039" s="101"/>
      <c r="Z1039" s="101"/>
      <c r="AA1039" s="101"/>
      <c r="AB1039" s="101"/>
      <c r="AC1039" s="101"/>
    </row>
    <row r="1040" ht="14.25" customHeight="1">
      <c r="A1040" s="99"/>
      <c r="B1040" s="101"/>
      <c r="C1040" s="101"/>
      <c r="D1040" s="101"/>
      <c r="E1040" s="101"/>
      <c r="F1040" s="101"/>
      <c r="G1040" s="101"/>
      <c r="H1040" s="101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101"/>
      <c r="U1040" s="101"/>
      <c r="V1040" s="101"/>
      <c r="W1040" s="101"/>
      <c r="X1040" s="101"/>
      <c r="Y1040" s="101"/>
      <c r="Z1040" s="101"/>
      <c r="AA1040" s="101"/>
      <c r="AB1040" s="101"/>
      <c r="AC1040" s="101"/>
    </row>
    <row r="1041" ht="14.25" customHeight="1">
      <c r="A1041" s="99"/>
      <c r="B1041" s="101"/>
      <c r="C1041" s="101"/>
      <c r="D1041" s="101"/>
      <c r="E1041" s="101"/>
      <c r="F1041" s="101"/>
      <c r="G1041" s="101"/>
      <c r="H1041" s="101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101"/>
      <c r="U1041" s="101"/>
      <c r="V1041" s="101"/>
      <c r="W1041" s="101"/>
      <c r="X1041" s="101"/>
      <c r="Y1041" s="101"/>
      <c r="Z1041" s="101"/>
      <c r="AA1041" s="101"/>
      <c r="AB1041" s="101"/>
      <c r="AC1041" s="101"/>
    </row>
    <row r="1042" ht="14.25" customHeight="1">
      <c r="A1042" s="99"/>
      <c r="B1042" s="101"/>
      <c r="C1042" s="101"/>
      <c r="D1042" s="101"/>
      <c r="E1042" s="101"/>
      <c r="F1042" s="101"/>
      <c r="G1042" s="101"/>
      <c r="H1042" s="101"/>
      <c r="I1042" s="101"/>
      <c r="J1042" s="101"/>
      <c r="K1042" s="101"/>
      <c r="L1042" s="101"/>
      <c r="M1042" s="101"/>
      <c r="N1042" s="101"/>
      <c r="O1042" s="101"/>
      <c r="P1042" s="101"/>
      <c r="Q1042" s="101"/>
      <c r="R1042" s="101"/>
      <c r="S1042" s="101"/>
      <c r="T1042" s="101"/>
      <c r="U1042" s="101"/>
      <c r="V1042" s="101"/>
      <c r="W1042" s="101"/>
      <c r="X1042" s="101"/>
      <c r="Y1042" s="101"/>
      <c r="Z1042" s="101"/>
      <c r="AA1042" s="101"/>
      <c r="AB1042" s="101"/>
      <c r="AC1042" s="101"/>
    </row>
    <row r="1043" ht="14.25" customHeight="1">
      <c r="A1043" s="99"/>
      <c r="B1043" s="101"/>
      <c r="C1043" s="101"/>
      <c r="D1043" s="101"/>
      <c r="E1043" s="101"/>
      <c r="F1043" s="101"/>
      <c r="G1043" s="101"/>
      <c r="H1043" s="101"/>
      <c r="I1043" s="101"/>
      <c r="J1043" s="101"/>
      <c r="K1043" s="101"/>
      <c r="L1043" s="101"/>
      <c r="M1043" s="101"/>
      <c r="N1043" s="101"/>
      <c r="O1043" s="101"/>
      <c r="P1043" s="101"/>
      <c r="Q1043" s="101"/>
      <c r="R1043" s="101"/>
      <c r="S1043" s="101"/>
      <c r="T1043" s="101"/>
      <c r="U1043" s="101"/>
      <c r="V1043" s="101"/>
      <c r="W1043" s="101"/>
      <c r="X1043" s="101"/>
      <c r="Y1043" s="101"/>
      <c r="Z1043" s="101"/>
      <c r="AA1043" s="101"/>
      <c r="AB1043" s="101"/>
      <c r="AC1043" s="101"/>
    </row>
    <row r="1044" ht="14.25" customHeight="1">
      <c r="A1044" s="99"/>
      <c r="B1044" s="101"/>
      <c r="C1044" s="101"/>
      <c r="D1044" s="101"/>
      <c r="E1044" s="101"/>
      <c r="F1044" s="101"/>
      <c r="G1044" s="101"/>
      <c r="H1044" s="101"/>
      <c r="I1044" s="101"/>
      <c r="J1044" s="101"/>
      <c r="K1044" s="101"/>
      <c r="L1044" s="101"/>
      <c r="M1044" s="101"/>
      <c r="N1044" s="101"/>
      <c r="O1044" s="101"/>
      <c r="P1044" s="101"/>
      <c r="Q1044" s="101"/>
      <c r="R1044" s="101"/>
      <c r="S1044" s="101"/>
      <c r="T1044" s="101"/>
      <c r="U1044" s="101"/>
      <c r="V1044" s="101"/>
      <c r="W1044" s="101"/>
      <c r="X1044" s="101"/>
      <c r="Y1044" s="101"/>
      <c r="Z1044" s="101"/>
      <c r="AA1044" s="101"/>
      <c r="AB1044" s="101"/>
      <c r="AC1044" s="101"/>
    </row>
    <row r="1045" ht="14.25" customHeight="1">
      <c r="A1045" s="99"/>
      <c r="B1045" s="101"/>
      <c r="C1045" s="101"/>
      <c r="D1045" s="101"/>
      <c r="E1045" s="101"/>
      <c r="F1045" s="101"/>
      <c r="G1045" s="101"/>
      <c r="H1045" s="101"/>
      <c r="I1045" s="101"/>
      <c r="J1045" s="101"/>
      <c r="K1045" s="101"/>
      <c r="L1045" s="101"/>
      <c r="M1045" s="101"/>
      <c r="N1045" s="101"/>
      <c r="O1045" s="101"/>
      <c r="P1045" s="101"/>
      <c r="Q1045" s="101"/>
      <c r="R1045" s="101"/>
      <c r="S1045" s="101"/>
      <c r="T1045" s="101"/>
      <c r="U1045" s="101"/>
      <c r="V1045" s="101"/>
      <c r="W1045" s="101"/>
      <c r="X1045" s="101"/>
      <c r="Y1045" s="101"/>
      <c r="Z1045" s="101"/>
      <c r="AA1045" s="101"/>
      <c r="AB1045" s="101"/>
      <c r="AC1045" s="101"/>
    </row>
    <row r="1046" ht="14.25" customHeight="1">
      <c r="A1046" s="99"/>
      <c r="B1046" s="101"/>
      <c r="C1046" s="101"/>
      <c r="D1046" s="101"/>
      <c r="E1046" s="101"/>
      <c r="F1046" s="101"/>
      <c r="G1046" s="101"/>
      <c r="H1046" s="101"/>
      <c r="I1046" s="101"/>
      <c r="J1046" s="101"/>
      <c r="K1046" s="101"/>
      <c r="L1046" s="101"/>
      <c r="M1046" s="101"/>
      <c r="N1046" s="101"/>
      <c r="O1046" s="101"/>
      <c r="P1046" s="101"/>
      <c r="Q1046" s="101"/>
      <c r="R1046" s="101"/>
      <c r="S1046" s="101"/>
      <c r="T1046" s="101"/>
      <c r="U1046" s="101"/>
      <c r="V1046" s="101"/>
      <c r="W1046" s="101"/>
      <c r="X1046" s="101"/>
      <c r="Y1046" s="101"/>
      <c r="Z1046" s="101"/>
      <c r="AA1046" s="101"/>
      <c r="AB1046" s="101"/>
      <c r="AC1046" s="101"/>
    </row>
    <row r="1047" ht="14.25" customHeight="1">
      <c r="A1047" s="99"/>
      <c r="B1047" s="101"/>
      <c r="C1047" s="101"/>
      <c r="D1047" s="101"/>
      <c r="E1047" s="101"/>
      <c r="F1047" s="101"/>
      <c r="G1047" s="101"/>
      <c r="H1047" s="101"/>
      <c r="I1047" s="101"/>
      <c r="J1047" s="101"/>
      <c r="K1047" s="101"/>
      <c r="L1047" s="101"/>
      <c r="M1047" s="101"/>
      <c r="N1047" s="101"/>
      <c r="O1047" s="101"/>
      <c r="P1047" s="101"/>
      <c r="Q1047" s="101"/>
      <c r="R1047" s="101"/>
      <c r="S1047" s="101"/>
      <c r="T1047" s="101"/>
      <c r="U1047" s="101"/>
      <c r="V1047" s="101"/>
      <c r="W1047" s="101"/>
      <c r="X1047" s="101"/>
      <c r="Y1047" s="101"/>
      <c r="Z1047" s="101"/>
      <c r="AA1047" s="101"/>
      <c r="AB1047" s="101"/>
      <c r="AC1047" s="101"/>
    </row>
    <row r="1048" ht="14.25" customHeight="1">
      <c r="A1048" s="99"/>
      <c r="B1048" s="101"/>
      <c r="C1048" s="101"/>
      <c r="D1048" s="101"/>
      <c r="E1048" s="101"/>
      <c r="F1048" s="101"/>
      <c r="G1048" s="101"/>
      <c r="H1048" s="101"/>
      <c r="I1048" s="101"/>
      <c r="J1048" s="101"/>
      <c r="K1048" s="101"/>
      <c r="L1048" s="101"/>
      <c r="M1048" s="101"/>
      <c r="N1048" s="101"/>
      <c r="O1048" s="101"/>
      <c r="P1048" s="101"/>
      <c r="Q1048" s="101"/>
      <c r="R1048" s="101"/>
      <c r="S1048" s="101"/>
      <c r="T1048" s="101"/>
      <c r="U1048" s="101"/>
      <c r="V1048" s="101"/>
      <c r="W1048" s="101"/>
      <c r="X1048" s="101"/>
      <c r="Y1048" s="101"/>
      <c r="Z1048" s="101"/>
      <c r="AA1048" s="101"/>
      <c r="AB1048" s="101"/>
      <c r="AC1048" s="101"/>
    </row>
    <row r="1049" ht="14.25" customHeight="1">
      <c r="A1049" s="99"/>
      <c r="B1049" s="101"/>
      <c r="C1049" s="101"/>
      <c r="D1049" s="101"/>
      <c r="E1049" s="101"/>
      <c r="F1049" s="101"/>
      <c r="G1049" s="101"/>
      <c r="H1049" s="101"/>
      <c r="I1049" s="101"/>
      <c r="J1049" s="101"/>
      <c r="K1049" s="101"/>
      <c r="L1049" s="101"/>
      <c r="M1049" s="101"/>
      <c r="N1049" s="101"/>
      <c r="O1049" s="101"/>
      <c r="P1049" s="101"/>
      <c r="Q1049" s="101"/>
      <c r="R1049" s="101"/>
      <c r="S1049" s="101"/>
      <c r="T1049" s="101"/>
      <c r="U1049" s="101"/>
      <c r="V1049" s="101"/>
      <c r="W1049" s="101"/>
      <c r="X1049" s="101"/>
      <c r="Y1049" s="101"/>
      <c r="Z1049" s="101"/>
      <c r="AA1049" s="101"/>
      <c r="AB1049" s="101"/>
      <c r="AC1049" s="101"/>
    </row>
    <row r="1050" ht="14.25" customHeight="1">
      <c r="A1050" s="99"/>
      <c r="B1050" s="101"/>
      <c r="C1050" s="101"/>
      <c r="D1050" s="101"/>
      <c r="E1050" s="101"/>
      <c r="F1050" s="101"/>
      <c r="G1050" s="101"/>
      <c r="H1050" s="101"/>
      <c r="I1050" s="101"/>
      <c r="J1050" s="101"/>
      <c r="K1050" s="101"/>
      <c r="L1050" s="101"/>
      <c r="M1050" s="101"/>
      <c r="N1050" s="101"/>
      <c r="O1050" s="101"/>
      <c r="P1050" s="101"/>
      <c r="Q1050" s="101"/>
      <c r="R1050" s="101"/>
      <c r="S1050" s="101"/>
      <c r="T1050" s="101"/>
      <c r="U1050" s="101"/>
      <c r="V1050" s="101"/>
      <c r="W1050" s="101"/>
      <c r="X1050" s="101"/>
      <c r="Y1050" s="101"/>
      <c r="Z1050" s="101"/>
      <c r="AA1050" s="101"/>
      <c r="AB1050" s="101"/>
      <c r="AC1050" s="101"/>
    </row>
    <row r="1051" ht="14.25" customHeight="1">
      <c r="A1051" s="99"/>
      <c r="B1051" s="101"/>
      <c r="C1051" s="101"/>
      <c r="D1051" s="101"/>
      <c r="E1051" s="101"/>
      <c r="F1051" s="101"/>
      <c r="G1051" s="101"/>
      <c r="H1051" s="101"/>
      <c r="I1051" s="101"/>
      <c r="J1051" s="101"/>
      <c r="K1051" s="101"/>
      <c r="L1051" s="101"/>
      <c r="M1051" s="101"/>
      <c r="N1051" s="101"/>
      <c r="O1051" s="101"/>
      <c r="P1051" s="101"/>
      <c r="Q1051" s="101"/>
      <c r="R1051" s="101"/>
      <c r="S1051" s="101"/>
      <c r="T1051" s="101"/>
      <c r="U1051" s="101"/>
      <c r="V1051" s="101"/>
      <c r="W1051" s="101"/>
      <c r="X1051" s="101"/>
      <c r="Y1051" s="101"/>
      <c r="Z1051" s="101"/>
      <c r="AA1051" s="101"/>
      <c r="AB1051" s="101"/>
      <c r="AC1051" s="101"/>
    </row>
    <row r="1052" ht="14.25" customHeight="1">
      <c r="A1052" s="99"/>
      <c r="B1052" s="101"/>
      <c r="C1052" s="101"/>
      <c r="D1052" s="101"/>
      <c r="E1052" s="101"/>
      <c r="F1052" s="101"/>
      <c r="G1052" s="101"/>
      <c r="H1052" s="101"/>
      <c r="I1052" s="101"/>
      <c r="J1052" s="101"/>
      <c r="K1052" s="101"/>
      <c r="L1052" s="101"/>
      <c r="M1052" s="101"/>
      <c r="N1052" s="101"/>
      <c r="O1052" s="101"/>
      <c r="P1052" s="101"/>
      <c r="Q1052" s="101"/>
      <c r="R1052" s="101"/>
      <c r="S1052" s="101"/>
      <c r="T1052" s="101"/>
      <c r="U1052" s="101"/>
      <c r="V1052" s="101"/>
      <c r="W1052" s="101"/>
      <c r="X1052" s="101"/>
      <c r="Y1052" s="101"/>
      <c r="Z1052" s="101"/>
      <c r="AA1052" s="101"/>
      <c r="AB1052" s="101"/>
      <c r="AC1052" s="101"/>
    </row>
    <row r="1053" ht="14.25" customHeight="1">
      <c r="A1053" s="99"/>
      <c r="B1053" s="101"/>
      <c r="C1053" s="101"/>
      <c r="D1053" s="101"/>
      <c r="E1053" s="101"/>
      <c r="F1053" s="101"/>
      <c r="G1053" s="101"/>
      <c r="H1053" s="101"/>
      <c r="I1053" s="101"/>
      <c r="J1053" s="101"/>
      <c r="K1053" s="101"/>
      <c r="L1053" s="101"/>
      <c r="M1053" s="101"/>
      <c r="N1053" s="101"/>
      <c r="O1053" s="101"/>
      <c r="P1053" s="101"/>
      <c r="Q1053" s="101"/>
      <c r="R1053" s="101"/>
      <c r="S1053" s="101"/>
      <c r="T1053" s="101"/>
      <c r="U1053" s="101"/>
      <c r="V1053" s="101"/>
      <c r="W1053" s="101"/>
      <c r="X1053" s="101"/>
      <c r="Y1053" s="101"/>
      <c r="Z1053" s="101"/>
      <c r="AA1053" s="101"/>
      <c r="AB1053" s="101"/>
      <c r="AC1053" s="101"/>
    </row>
    <row r="1054" ht="14.25" customHeight="1">
      <c r="A1054" s="99"/>
      <c r="B1054" s="101"/>
      <c r="C1054" s="101"/>
      <c r="D1054" s="101"/>
      <c r="E1054" s="101"/>
      <c r="F1054" s="101"/>
      <c r="G1054" s="101"/>
      <c r="H1054" s="101"/>
      <c r="I1054" s="101"/>
      <c r="J1054" s="101"/>
      <c r="K1054" s="101"/>
      <c r="L1054" s="101"/>
      <c r="M1054" s="101"/>
      <c r="N1054" s="101"/>
      <c r="O1054" s="101"/>
      <c r="P1054" s="101"/>
      <c r="Q1054" s="101"/>
      <c r="R1054" s="101"/>
      <c r="S1054" s="101"/>
      <c r="T1054" s="101"/>
      <c r="U1054" s="101"/>
      <c r="V1054" s="101"/>
      <c r="W1054" s="101"/>
      <c r="X1054" s="101"/>
      <c r="Y1054" s="101"/>
      <c r="Z1054" s="101"/>
      <c r="AA1054" s="101"/>
      <c r="AB1054" s="101"/>
      <c r="AC1054" s="101"/>
    </row>
    <row r="1055" ht="14.25" customHeight="1">
      <c r="A1055" s="99"/>
      <c r="B1055" s="101"/>
      <c r="C1055" s="101"/>
      <c r="D1055" s="101"/>
      <c r="E1055" s="101"/>
      <c r="F1055" s="101"/>
      <c r="G1055" s="101"/>
      <c r="H1055" s="101"/>
      <c r="I1055" s="101"/>
      <c r="J1055" s="101"/>
      <c r="K1055" s="101"/>
      <c r="L1055" s="101"/>
      <c r="M1055" s="101"/>
      <c r="N1055" s="101"/>
      <c r="O1055" s="101"/>
      <c r="P1055" s="101"/>
      <c r="Q1055" s="101"/>
      <c r="R1055" s="101"/>
      <c r="S1055" s="101"/>
      <c r="T1055" s="101"/>
      <c r="U1055" s="101"/>
      <c r="V1055" s="101"/>
      <c r="W1055" s="101"/>
      <c r="X1055" s="101"/>
      <c r="Y1055" s="101"/>
      <c r="Z1055" s="101"/>
      <c r="AA1055" s="101"/>
      <c r="AB1055" s="101"/>
      <c r="AC1055" s="101"/>
    </row>
    <row r="1056" ht="14.25" customHeight="1">
      <c r="A1056" s="99"/>
      <c r="B1056" s="101"/>
      <c r="C1056" s="101"/>
      <c r="D1056" s="101"/>
      <c r="E1056" s="101"/>
      <c r="F1056" s="101"/>
      <c r="G1056" s="101"/>
      <c r="H1056" s="101"/>
      <c r="I1056" s="101"/>
      <c r="J1056" s="101"/>
      <c r="K1056" s="101"/>
      <c r="L1056" s="101"/>
      <c r="M1056" s="101"/>
      <c r="N1056" s="101"/>
      <c r="O1056" s="101"/>
      <c r="P1056" s="101"/>
      <c r="Q1056" s="101"/>
      <c r="R1056" s="101"/>
      <c r="S1056" s="101"/>
      <c r="T1056" s="101"/>
      <c r="U1056" s="101"/>
      <c r="V1056" s="101"/>
      <c r="W1056" s="101"/>
      <c r="X1056" s="101"/>
      <c r="Y1056" s="101"/>
      <c r="Z1056" s="101"/>
      <c r="AA1056" s="101"/>
      <c r="AB1056" s="101"/>
      <c r="AC1056" s="101"/>
    </row>
    <row r="1057" ht="14.25" customHeight="1">
      <c r="A1057" s="99"/>
      <c r="B1057" s="101"/>
      <c r="C1057" s="101"/>
      <c r="D1057" s="101"/>
      <c r="E1057" s="101"/>
      <c r="F1057" s="101"/>
      <c r="G1057" s="101"/>
      <c r="H1057" s="101"/>
      <c r="I1057" s="101"/>
      <c r="J1057" s="101"/>
      <c r="K1057" s="101"/>
      <c r="L1057" s="101"/>
      <c r="M1057" s="101"/>
      <c r="N1057" s="101"/>
      <c r="O1057" s="101"/>
      <c r="P1057" s="101"/>
      <c r="Q1057" s="101"/>
      <c r="R1057" s="101"/>
      <c r="S1057" s="101"/>
      <c r="T1057" s="101"/>
      <c r="U1057" s="101"/>
      <c r="V1057" s="101"/>
      <c r="W1057" s="101"/>
      <c r="X1057" s="101"/>
      <c r="Y1057" s="101"/>
      <c r="Z1057" s="101"/>
      <c r="AA1057" s="101"/>
      <c r="AB1057" s="101"/>
      <c r="AC1057" s="101"/>
    </row>
    <row r="1058" ht="14.25" customHeight="1">
      <c r="A1058" s="99"/>
      <c r="B1058" s="101"/>
      <c r="C1058" s="101"/>
      <c r="D1058" s="101"/>
      <c r="E1058" s="101"/>
      <c r="F1058" s="101"/>
      <c r="G1058" s="101"/>
      <c r="H1058" s="101"/>
      <c r="I1058" s="101"/>
      <c r="J1058" s="101"/>
      <c r="K1058" s="101"/>
      <c r="L1058" s="101"/>
      <c r="M1058" s="101"/>
      <c r="N1058" s="101"/>
      <c r="O1058" s="101"/>
      <c r="P1058" s="101"/>
      <c r="Q1058" s="101"/>
      <c r="R1058" s="101"/>
      <c r="S1058" s="101"/>
      <c r="T1058" s="101"/>
      <c r="U1058" s="101"/>
      <c r="V1058" s="101"/>
      <c r="W1058" s="101"/>
      <c r="X1058" s="101"/>
      <c r="Y1058" s="101"/>
      <c r="Z1058" s="101"/>
      <c r="AA1058" s="101"/>
      <c r="AB1058" s="101"/>
      <c r="AC1058" s="101"/>
    </row>
    <row r="1059" ht="14.25" customHeight="1">
      <c r="A1059" s="99"/>
      <c r="B1059" s="101"/>
      <c r="C1059" s="101"/>
      <c r="D1059" s="101"/>
      <c r="E1059" s="101"/>
      <c r="F1059" s="101"/>
      <c r="G1059" s="101"/>
      <c r="H1059" s="101"/>
      <c r="I1059" s="101"/>
      <c r="J1059" s="101"/>
      <c r="K1059" s="101"/>
      <c r="L1059" s="101"/>
      <c r="M1059" s="101"/>
      <c r="N1059" s="101"/>
      <c r="O1059" s="101"/>
      <c r="P1059" s="101"/>
      <c r="Q1059" s="101"/>
      <c r="R1059" s="101"/>
      <c r="S1059" s="101"/>
      <c r="T1059" s="101"/>
      <c r="U1059" s="101"/>
      <c r="V1059" s="101"/>
      <c r="W1059" s="101"/>
      <c r="X1059" s="101"/>
      <c r="Y1059" s="101"/>
      <c r="Z1059" s="101"/>
      <c r="AA1059" s="101"/>
      <c r="AB1059" s="101"/>
      <c r="AC1059" s="101"/>
    </row>
    <row r="1060" ht="14.25" customHeight="1">
      <c r="A1060" s="99"/>
      <c r="B1060" s="101"/>
      <c r="C1060" s="101"/>
      <c r="D1060" s="101"/>
      <c r="E1060" s="101"/>
      <c r="F1060" s="101"/>
      <c r="G1060" s="101"/>
      <c r="H1060" s="101"/>
      <c r="I1060" s="101"/>
      <c r="J1060" s="101"/>
      <c r="K1060" s="101"/>
      <c r="L1060" s="101"/>
      <c r="M1060" s="101"/>
      <c r="N1060" s="101"/>
      <c r="O1060" s="101"/>
      <c r="P1060" s="101"/>
      <c r="Q1060" s="101"/>
      <c r="R1060" s="101"/>
      <c r="S1060" s="101"/>
      <c r="T1060" s="101"/>
      <c r="U1060" s="101"/>
      <c r="V1060" s="101"/>
      <c r="W1060" s="101"/>
      <c r="X1060" s="101"/>
      <c r="Y1060" s="101"/>
      <c r="Z1060" s="101"/>
      <c r="AA1060" s="101"/>
      <c r="AB1060" s="101"/>
      <c r="AC1060" s="101"/>
    </row>
    <row r="1061" ht="14.25" customHeight="1">
      <c r="A1061" s="99"/>
      <c r="B1061" s="101"/>
      <c r="C1061" s="101"/>
      <c r="D1061" s="101"/>
      <c r="E1061" s="101"/>
      <c r="F1061" s="101"/>
      <c r="G1061" s="101"/>
      <c r="H1061" s="101"/>
      <c r="I1061" s="101"/>
      <c r="J1061" s="101"/>
      <c r="K1061" s="101"/>
      <c r="L1061" s="101"/>
      <c r="M1061" s="101"/>
      <c r="N1061" s="101"/>
      <c r="O1061" s="101"/>
      <c r="P1061" s="101"/>
      <c r="Q1061" s="101"/>
      <c r="R1061" s="101"/>
      <c r="S1061" s="101"/>
      <c r="T1061" s="101"/>
      <c r="U1061" s="101"/>
      <c r="V1061" s="101"/>
      <c r="W1061" s="101"/>
      <c r="X1061" s="101"/>
      <c r="Y1061" s="101"/>
      <c r="Z1061" s="101"/>
      <c r="AA1061" s="101"/>
      <c r="AB1061" s="101"/>
      <c r="AC1061" s="101"/>
    </row>
    <row r="1062" ht="14.25" customHeight="1">
      <c r="A1062" s="99"/>
      <c r="B1062" s="101"/>
      <c r="C1062" s="101"/>
      <c r="D1062" s="101"/>
      <c r="E1062" s="101"/>
      <c r="F1062" s="101"/>
      <c r="G1062" s="101"/>
      <c r="H1062" s="101"/>
      <c r="I1062" s="101"/>
      <c r="J1062" s="101"/>
      <c r="K1062" s="101"/>
      <c r="L1062" s="101"/>
      <c r="M1062" s="101"/>
      <c r="N1062" s="101"/>
      <c r="O1062" s="101"/>
      <c r="P1062" s="101"/>
      <c r="Q1062" s="101"/>
      <c r="R1062" s="101"/>
      <c r="S1062" s="101"/>
      <c r="T1062" s="101"/>
      <c r="U1062" s="101"/>
      <c r="V1062" s="101"/>
      <c r="W1062" s="101"/>
      <c r="X1062" s="101"/>
      <c r="Y1062" s="101"/>
      <c r="Z1062" s="101"/>
      <c r="AA1062" s="101"/>
      <c r="AB1062" s="101"/>
      <c r="AC1062" s="101"/>
    </row>
    <row r="1063" ht="14.25" customHeight="1">
      <c r="A1063" s="99"/>
      <c r="B1063" s="101"/>
      <c r="C1063" s="101"/>
      <c r="D1063" s="101"/>
      <c r="E1063" s="101"/>
      <c r="F1063" s="101"/>
      <c r="G1063" s="101"/>
      <c r="H1063" s="101"/>
      <c r="I1063" s="101"/>
      <c r="J1063" s="101"/>
      <c r="K1063" s="101"/>
      <c r="L1063" s="101"/>
      <c r="M1063" s="101"/>
      <c r="N1063" s="101"/>
      <c r="O1063" s="101"/>
      <c r="P1063" s="101"/>
      <c r="Q1063" s="101"/>
      <c r="R1063" s="101"/>
      <c r="S1063" s="101"/>
      <c r="T1063" s="101"/>
      <c r="U1063" s="101"/>
      <c r="V1063" s="101"/>
      <c r="W1063" s="101"/>
      <c r="X1063" s="101"/>
      <c r="Y1063" s="101"/>
      <c r="Z1063" s="101"/>
      <c r="AA1063" s="101"/>
      <c r="AB1063" s="101"/>
      <c r="AC1063" s="101"/>
    </row>
    <row r="1064" ht="14.25" customHeight="1">
      <c r="A1064" s="99"/>
      <c r="B1064" s="101"/>
      <c r="C1064" s="101"/>
      <c r="D1064" s="101"/>
      <c r="E1064" s="101"/>
      <c r="F1064" s="101"/>
      <c r="G1064" s="101"/>
      <c r="H1064" s="101"/>
      <c r="I1064" s="101"/>
      <c r="J1064" s="101"/>
      <c r="K1064" s="101"/>
      <c r="L1064" s="101"/>
      <c r="M1064" s="101"/>
      <c r="N1064" s="101"/>
      <c r="O1064" s="101"/>
      <c r="P1064" s="101"/>
      <c r="Q1064" s="101"/>
      <c r="R1064" s="101"/>
      <c r="S1064" s="101"/>
      <c r="T1064" s="101"/>
      <c r="U1064" s="101"/>
      <c r="V1064" s="101"/>
      <c r="W1064" s="101"/>
      <c r="X1064" s="101"/>
      <c r="Y1064" s="101"/>
      <c r="Z1064" s="101"/>
      <c r="AA1064" s="101"/>
      <c r="AB1064" s="101"/>
      <c r="AC1064" s="101"/>
    </row>
    <row r="1065" ht="14.25" customHeight="1">
      <c r="A1065" s="99"/>
      <c r="B1065" s="101"/>
      <c r="C1065" s="101"/>
      <c r="D1065" s="101"/>
      <c r="E1065" s="101"/>
      <c r="F1065" s="101"/>
      <c r="G1065" s="101"/>
      <c r="H1065" s="101"/>
      <c r="I1065" s="101"/>
      <c r="J1065" s="101"/>
      <c r="K1065" s="101"/>
      <c r="L1065" s="101"/>
      <c r="M1065" s="101"/>
      <c r="N1065" s="101"/>
      <c r="O1065" s="101"/>
      <c r="P1065" s="101"/>
      <c r="Q1065" s="101"/>
      <c r="R1065" s="101"/>
      <c r="S1065" s="101"/>
      <c r="T1065" s="101"/>
      <c r="U1065" s="101"/>
      <c r="V1065" s="101"/>
      <c r="W1065" s="101"/>
      <c r="X1065" s="101"/>
      <c r="Y1065" s="101"/>
      <c r="Z1065" s="101"/>
      <c r="AA1065" s="101"/>
      <c r="AB1065" s="101"/>
      <c r="AC1065" s="101"/>
    </row>
    <row r="1066" ht="14.25" customHeight="1">
      <c r="A1066" s="99"/>
      <c r="B1066" s="101"/>
      <c r="C1066" s="101"/>
      <c r="D1066" s="101"/>
      <c r="E1066" s="101"/>
      <c r="F1066" s="101"/>
      <c r="G1066" s="101"/>
      <c r="H1066" s="101"/>
      <c r="I1066" s="101"/>
      <c r="J1066" s="101"/>
      <c r="K1066" s="101"/>
      <c r="L1066" s="101"/>
      <c r="M1066" s="101"/>
      <c r="N1066" s="101"/>
      <c r="O1066" s="101"/>
      <c r="P1066" s="101"/>
      <c r="Q1066" s="101"/>
      <c r="R1066" s="101"/>
      <c r="S1066" s="101"/>
      <c r="T1066" s="101"/>
      <c r="U1066" s="101"/>
      <c r="V1066" s="101"/>
      <c r="W1066" s="101"/>
      <c r="X1066" s="101"/>
      <c r="Y1066" s="101"/>
      <c r="Z1066" s="101"/>
      <c r="AA1066" s="101"/>
      <c r="AB1066" s="101"/>
      <c r="AC1066" s="101"/>
    </row>
    <row r="1067" ht="14.25" customHeight="1">
      <c r="A1067" s="99"/>
      <c r="B1067" s="101"/>
      <c r="C1067" s="101"/>
      <c r="D1067" s="101"/>
      <c r="E1067" s="101"/>
      <c r="F1067" s="101"/>
      <c r="G1067" s="101"/>
      <c r="H1067" s="101"/>
      <c r="I1067" s="101"/>
      <c r="J1067" s="101"/>
      <c r="K1067" s="101"/>
      <c r="L1067" s="101"/>
      <c r="M1067" s="101"/>
      <c r="N1067" s="101"/>
      <c r="O1067" s="101"/>
      <c r="P1067" s="101"/>
      <c r="Q1067" s="101"/>
      <c r="R1067" s="101"/>
      <c r="S1067" s="101"/>
      <c r="T1067" s="101"/>
      <c r="U1067" s="101"/>
      <c r="V1067" s="101"/>
      <c r="W1067" s="101"/>
      <c r="X1067" s="101"/>
      <c r="Y1067" s="101"/>
      <c r="Z1067" s="101"/>
      <c r="AA1067" s="101"/>
      <c r="AB1067" s="101"/>
      <c r="AC1067" s="101"/>
    </row>
    <row r="1068" ht="14.25" customHeight="1">
      <c r="A1068" s="99"/>
      <c r="B1068" s="101"/>
      <c r="C1068" s="101"/>
      <c r="D1068" s="101"/>
      <c r="E1068" s="101"/>
      <c r="F1068" s="101"/>
      <c r="G1068" s="101"/>
      <c r="H1068" s="101"/>
      <c r="I1068" s="101"/>
      <c r="J1068" s="101"/>
      <c r="K1068" s="101"/>
      <c r="L1068" s="101"/>
      <c r="M1068" s="101"/>
      <c r="N1068" s="101"/>
      <c r="O1068" s="101"/>
      <c r="P1068" s="101"/>
      <c r="Q1068" s="101"/>
      <c r="R1068" s="101"/>
      <c r="S1068" s="101"/>
      <c r="T1068" s="101"/>
      <c r="U1068" s="101"/>
      <c r="V1068" s="101"/>
      <c r="W1068" s="101"/>
      <c r="X1068" s="101"/>
      <c r="Y1068" s="101"/>
      <c r="Z1068" s="101"/>
      <c r="AA1068" s="101"/>
      <c r="AB1068" s="101"/>
      <c r="AC1068" s="101"/>
    </row>
    <row r="1069" ht="14.25" customHeight="1">
      <c r="A1069" s="99"/>
      <c r="B1069" s="101"/>
      <c r="C1069" s="101"/>
      <c r="D1069" s="101"/>
      <c r="E1069" s="101"/>
      <c r="F1069" s="101"/>
      <c r="G1069" s="101"/>
      <c r="H1069" s="101"/>
      <c r="I1069" s="101"/>
      <c r="J1069" s="101"/>
      <c r="K1069" s="101"/>
      <c r="L1069" s="101"/>
      <c r="M1069" s="101"/>
      <c r="N1069" s="101"/>
      <c r="O1069" s="101"/>
      <c r="P1069" s="101"/>
      <c r="Q1069" s="101"/>
      <c r="R1069" s="101"/>
      <c r="S1069" s="101"/>
      <c r="T1069" s="101"/>
      <c r="U1069" s="101"/>
      <c r="V1069" s="101"/>
      <c r="W1069" s="101"/>
      <c r="X1069" s="101"/>
      <c r="Y1069" s="101"/>
      <c r="Z1069" s="101"/>
      <c r="AA1069" s="101"/>
      <c r="AB1069" s="101"/>
      <c r="AC1069" s="101"/>
    </row>
    <row r="1070" ht="14.25" customHeight="1">
      <c r="A1070" s="99"/>
      <c r="B1070" s="101"/>
      <c r="C1070" s="101"/>
      <c r="D1070" s="101"/>
      <c r="E1070" s="101"/>
      <c r="F1070" s="101"/>
      <c r="G1070" s="101"/>
      <c r="H1070" s="101"/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101"/>
      <c r="U1070" s="101"/>
      <c r="V1070" s="101"/>
      <c r="W1070" s="101"/>
      <c r="X1070" s="101"/>
      <c r="Y1070" s="101"/>
      <c r="Z1070" s="101"/>
      <c r="AA1070" s="101"/>
      <c r="AB1070" s="101"/>
      <c r="AC1070" s="101"/>
    </row>
    <row r="1071" ht="14.25" customHeight="1">
      <c r="A1071" s="99"/>
      <c r="B1071" s="101"/>
      <c r="C1071" s="101"/>
      <c r="D1071" s="101"/>
      <c r="E1071" s="101"/>
      <c r="F1071" s="101"/>
      <c r="G1071" s="101"/>
      <c r="H1071" s="101"/>
      <c r="I1071" s="101"/>
      <c r="J1071" s="101"/>
      <c r="K1071" s="101"/>
      <c r="L1071" s="101"/>
      <c r="M1071" s="101"/>
      <c r="N1071" s="101"/>
      <c r="O1071" s="101"/>
      <c r="P1071" s="101"/>
      <c r="Q1071" s="101"/>
      <c r="R1071" s="101"/>
      <c r="S1071" s="101"/>
      <c r="T1071" s="101"/>
      <c r="U1071" s="101"/>
      <c r="V1071" s="101"/>
      <c r="W1071" s="101"/>
      <c r="X1071" s="101"/>
      <c r="Y1071" s="101"/>
      <c r="Z1071" s="101"/>
      <c r="AA1071" s="101"/>
      <c r="AB1071" s="101"/>
      <c r="AC1071" s="101"/>
    </row>
    <row r="1072" ht="14.25" customHeight="1">
      <c r="A1072" s="99"/>
      <c r="B1072" s="101"/>
      <c r="C1072" s="101"/>
      <c r="D1072" s="101"/>
      <c r="E1072" s="101"/>
      <c r="F1072" s="101"/>
      <c r="G1072" s="101"/>
      <c r="H1072" s="101"/>
      <c r="I1072" s="101"/>
      <c r="J1072" s="101"/>
      <c r="K1072" s="101"/>
      <c r="L1072" s="101"/>
      <c r="M1072" s="101"/>
      <c r="N1072" s="101"/>
      <c r="O1072" s="101"/>
      <c r="P1072" s="101"/>
      <c r="Q1072" s="101"/>
      <c r="R1072" s="101"/>
      <c r="S1072" s="101"/>
      <c r="T1072" s="101"/>
      <c r="U1072" s="101"/>
      <c r="V1072" s="101"/>
      <c r="W1072" s="101"/>
      <c r="X1072" s="101"/>
      <c r="Y1072" s="101"/>
      <c r="Z1072" s="101"/>
      <c r="AA1072" s="101"/>
      <c r="AB1072" s="101"/>
      <c r="AC1072" s="101"/>
    </row>
    <row r="1073" ht="14.25" customHeight="1">
      <c r="A1073" s="99"/>
      <c r="B1073" s="101"/>
      <c r="C1073" s="101"/>
      <c r="D1073" s="101"/>
      <c r="E1073" s="101"/>
      <c r="F1073" s="101"/>
      <c r="G1073" s="101"/>
      <c r="H1073" s="101"/>
      <c r="I1073" s="101"/>
      <c r="J1073" s="101"/>
      <c r="K1073" s="101"/>
      <c r="L1073" s="101"/>
      <c r="M1073" s="101"/>
      <c r="N1073" s="101"/>
      <c r="O1073" s="101"/>
      <c r="P1073" s="101"/>
      <c r="Q1073" s="101"/>
      <c r="R1073" s="101"/>
      <c r="S1073" s="101"/>
      <c r="T1073" s="101"/>
      <c r="U1073" s="101"/>
      <c r="V1073" s="101"/>
      <c r="W1073" s="101"/>
      <c r="X1073" s="101"/>
      <c r="Y1073" s="101"/>
      <c r="Z1073" s="101"/>
      <c r="AA1073" s="101"/>
      <c r="AB1073" s="101"/>
      <c r="AC1073" s="101"/>
    </row>
    <row r="1074" ht="14.25" customHeight="1">
      <c r="A1074" s="99"/>
      <c r="B1074" s="101"/>
      <c r="C1074" s="101"/>
      <c r="D1074" s="101"/>
      <c r="E1074" s="101"/>
      <c r="F1074" s="101"/>
      <c r="G1074" s="101"/>
      <c r="H1074" s="101"/>
      <c r="I1074" s="101"/>
      <c r="J1074" s="101"/>
      <c r="K1074" s="101"/>
      <c r="L1074" s="101"/>
      <c r="M1074" s="101"/>
      <c r="N1074" s="101"/>
      <c r="O1074" s="101"/>
      <c r="P1074" s="101"/>
      <c r="Q1074" s="101"/>
      <c r="R1074" s="101"/>
      <c r="S1074" s="101"/>
      <c r="T1074" s="101"/>
      <c r="U1074" s="101"/>
      <c r="V1074" s="101"/>
      <c r="W1074" s="101"/>
      <c r="X1074" s="101"/>
      <c r="Y1074" s="101"/>
      <c r="Z1074" s="101"/>
      <c r="AA1074" s="101"/>
      <c r="AB1074" s="101"/>
      <c r="AC1074" s="101"/>
    </row>
    <row r="1075" ht="14.25" customHeight="1">
      <c r="A1075" s="99"/>
      <c r="B1075" s="101"/>
      <c r="C1075" s="101"/>
      <c r="D1075" s="101"/>
      <c r="E1075" s="101"/>
      <c r="F1075" s="101"/>
      <c r="G1075" s="101"/>
      <c r="H1075" s="101"/>
      <c r="I1075" s="101"/>
      <c r="J1075" s="101"/>
      <c r="K1075" s="101"/>
      <c r="L1075" s="101"/>
      <c r="M1075" s="101"/>
      <c r="N1075" s="101"/>
      <c r="O1075" s="101"/>
      <c r="P1075" s="101"/>
      <c r="Q1075" s="101"/>
      <c r="R1075" s="101"/>
      <c r="S1075" s="101"/>
      <c r="T1075" s="101"/>
      <c r="U1075" s="101"/>
      <c r="V1075" s="101"/>
      <c r="W1075" s="101"/>
      <c r="X1075" s="101"/>
      <c r="Y1075" s="101"/>
      <c r="Z1075" s="101"/>
      <c r="AA1075" s="101"/>
      <c r="AB1075" s="101"/>
      <c r="AC1075" s="101"/>
    </row>
    <row r="1076" ht="14.25" customHeight="1">
      <c r="A1076" s="99"/>
      <c r="B1076" s="101"/>
      <c r="C1076" s="101"/>
      <c r="D1076" s="101"/>
      <c r="E1076" s="101"/>
      <c r="F1076" s="101"/>
      <c r="G1076" s="101"/>
      <c r="H1076" s="101"/>
      <c r="I1076" s="101"/>
      <c r="J1076" s="101"/>
      <c r="K1076" s="101"/>
      <c r="L1076" s="101"/>
      <c r="M1076" s="101"/>
      <c r="N1076" s="101"/>
      <c r="O1076" s="101"/>
      <c r="P1076" s="101"/>
      <c r="Q1076" s="101"/>
      <c r="R1076" s="101"/>
      <c r="S1076" s="101"/>
      <c r="T1076" s="101"/>
      <c r="U1076" s="101"/>
      <c r="V1076" s="101"/>
      <c r="W1076" s="101"/>
      <c r="X1076" s="101"/>
      <c r="Y1076" s="101"/>
      <c r="Z1076" s="101"/>
      <c r="AA1076" s="101"/>
      <c r="AB1076" s="101"/>
      <c r="AC1076" s="101"/>
    </row>
    <row r="1077" ht="14.25" customHeight="1">
      <c r="A1077" s="99"/>
      <c r="B1077" s="101"/>
      <c r="C1077" s="101"/>
      <c r="D1077" s="101"/>
      <c r="E1077" s="101"/>
      <c r="F1077" s="101"/>
      <c r="G1077" s="101"/>
      <c r="H1077" s="101"/>
      <c r="I1077" s="101"/>
      <c r="J1077" s="101"/>
      <c r="K1077" s="101"/>
      <c r="L1077" s="101"/>
      <c r="M1077" s="101"/>
      <c r="N1077" s="101"/>
      <c r="O1077" s="101"/>
      <c r="P1077" s="101"/>
      <c r="Q1077" s="101"/>
      <c r="R1077" s="101"/>
      <c r="S1077" s="101"/>
      <c r="T1077" s="101"/>
      <c r="U1077" s="101"/>
      <c r="V1077" s="101"/>
      <c r="W1077" s="101"/>
      <c r="X1077" s="101"/>
      <c r="Y1077" s="101"/>
      <c r="Z1077" s="101"/>
      <c r="AA1077" s="101"/>
      <c r="AB1077" s="101"/>
      <c r="AC1077" s="101"/>
    </row>
    <row r="1078" ht="14.25" customHeight="1">
      <c r="A1078" s="99"/>
      <c r="B1078" s="101"/>
      <c r="C1078" s="101"/>
      <c r="D1078" s="101"/>
      <c r="E1078" s="101"/>
      <c r="F1078" s="101"/>
      <c r="G1078" s="101"/>
      <c r="H1078" s="101"/>
      <c r="I1078" s="101"/>
      <c r="J1078" s="101"/>
      <c r="K1078" s="101"/>
      <c r="L1078" s="101"/>
      <c r="M1078" s="101"/>
      <c r="N1078" s="101"/>
      <c r="O1078" s="101"/>
      <c r="P1078" s="101"/>
      <c r="Q1078" s="101"/>
      <c r="R1078" s="101"/>
      <c r="S1078" s="101"/>
      <c r="T1078" s="101"/>
      <c r="U1078" s="101"/>
      <c r="V1078" s="101"/>
      <c r="W1078" s="101"/>
      <c r="X1078" s="101"/>
      <c r="Y1078" s="101"/>
      <c r="Z1078" s="101"/>
      <c r="AA1078" s="101"/>
      <c r="AB1078" s="101"/>
      <c r="AC1078" s="101"/>
    </row>
    <row r="1079" ht="14.25" customHeight="1">
      <c r="A1079" s="99"/>
      <c r="B1079" s="101"/>
      <c r="C1079" s="101"/>
      <c r="D1079" s="101"/>
      <c r="E1079" s="101"/>
      <c r="F1079" s="101"/>
      <c r="G1079" s="101"/>
      <c r="H1079" s="101"/>
      <c r="I1079" s="101"/>
      <c r="J1079" s="101"/>
      <c r="K1079" s="101"/>
      <c r="L1079" s="101"/>
      <c r="M1079" s="101"/>
      <c r="N1079" s="101"/>
      <c r="O1079" s="101"/>
      <c r="P1079" s="101"/>
      <c r="Q1079" s="101"/>
      <c r="R1079" s="101"/>
      <c r="S1079" s="101"/>
      <c r="T1079" s="101"/>
      <c r="U1079" s="101"/>
      <c r="V1079" s="101"/>
      <c r="W1079" s="101"/>
      <c r="X1079" s="101"/>
      <c r="Y1079" s="101"/>
      <c r="Z1079" s="101"/>
      <c r="AA1079" s="101"/>
      <c r="AB1079" s="101"/>
      <c r="AC1079" s="101"/>
    </row>
    <row r="1080" ht="14.25" customHeight="1">
      <c r="A1080" s="99"/>
      <c r="B1080" s="101"/>
      <c r="C1080" s="101"/>
      <c r="D1080" s="101"/>
      <c r="E1080" s="101"/>
      <c r="F1080" s="101"/>
      <c r="G1080" s="101"/>
      <c r="H1080" s="101"/>
      <c r="I1080" s="101"/>
      <c r="J1080" s="101"/>
      <c r="K1080" s="101"/>
      <c r="L1080" s="101"/>
      <c r="M1080" s="101"/>
      <c r="N1080" s="101"/>
      <c r="O1080" s="101"/>
      <c r="P1080" s="101"/>
      <c r="Q1080" s="101"/>
      <c r="R1080" s="101"/>
      <c r="S1080" s="101"/>
      <c r="T1080" s="101"/>
      <c r="U1080" s="101"/>
      <c r="V1080" s="101"/>
      <c r="W1080" s="101"/>
      <c r="X1080" s="101"/>
      <c r="Y1080" s="101"/>
      <c r="Z1080" s="101"/>
      <c r="AA1080" s="101"/>
      <c r="AB1080" s="101"/>
      <c r="AC1080" s="101"/>
    </row>
    <row r="1081" ht="14.25" customHeight="1">
      <c r="A1081" s="99"/>
      <c r="B1081" s="101"/>
      <c r="C1081" s="101"/>
      <c r="D1081" s="101"/>
      <c r="E1081" s="101"/>
      <c r="F1081" s="101"/>
      <c r="G1081" s="101"/>
      <c r="H1081" s="101"/>
      <c r="I1081" s="101"/>
      <c r="J1081" s="101"/>
      <c r="K1081" s="101"/>
      <c r="L1081" s="101"/>
      <c r="M1081" s="101"/>
      <c r="N1081" s="101"/>
      <c r="O1081" s="101"/>
      <c r="P1081" s="101"/>
      <c r="Q1081" s="101"/>
      <c r="R1081" s="101"/>
      <c r="S1081" s="101"/>
      <c r="T1081" s="101"/>
      <c r="U1081" s="101"/>
      <c r="V1081" s="101"/>
      <c r="W1081" s="101"/>
      <c r="X1081" s="101"/>
      <c r="Y1081" s="101"/>
      <c r="Z1081" s="101"/>
      <c r="AA1081" s="101"/>
      <c r="AB1081" s="101"/>
      <c r="AC1081" s="101"/>
    </row>
    <row r="1082" ht="14.25" customHeight="1">
      <c r="A1082" s="99"/>
      <c r="B1082" s="101"/>
      <c r="C1082" s="101"/>
      <c r="D1082" s="101"/>
      <c r="E1082" s="101"/>
      <c r="F1082" s="101"/>
      <c r="G1082" s="101"/>
      <c r="H1082" s="101"/>
      <c r="I1082" s="101"/>
      <c r="J1082" s="101"/>
      <c r="K1082" s="101"/>
      <c r="L1082" s="101"/>
      <c r="M1082" s="101"/>
      <c r="N1082" s="101"/>
      <c r="O1082" s="101"/>
      <c r="P1082" s="101"/>
      <c r="Q1082" s="101"/>
      <c r="R1082" s="101"/>
      <c r="S1082" s="101"/>
      <c r="T1082" s="101"/>
      <c r="U1082" s="101"/>
      <c r="V1082" s="101"/>
      <c r="W1082" s="101"/>
      <c r="X1082" s="101"/>
      <c r="Y1082" s="101"/>
      <c r="Z1082" s="101"/>
      <c r="AA1082" s="101"/>
      <c r="AB1082" s="101"/>
      <c r="AC1082" s="101"/>
    </row>
    <row r="1083" ht="14.25" customHeight="1">
      <c r="A1083" s="99"/>
      <c r="B1083" s="101"/>
      <c r="C1083" s="101"/>
      <c r="D1083" s="101"/>
      <c r="E1083" s="101"/>
      <c r="F1083" s="101"/>
      <c r="G1083" s="101"/>
      <c r="H1083" s="101"/>
      <c r="I1083" s="101"/>
      <c r="J1083" s="101"/>
      <c r="K1083" s="101"/>
      <c r="L1083" s="101"/>
      <c r="M1083" s="101"/>
      <c r="N1083" s="101"/>
      <c r="O1083" s="101"/>
      <c r="P1083" s="101"/>
      <c r="Q1083" s="101"/>
      <c r="R1083" s="101"/>
      <c r="S1083" s="101"/>
      <c r="T1083" s="101"/>
      <c r="U1083" s="101"/>
      <c r="V1083" s="101"/>
      <c r="W1083" s="101"/>
      <c r="X1083" s="101"/>
      <c r="Y1083" s="101"/>
      <c r="Z1083" s="101"/>
      <c r="AA1083" s="101"/>
      <c r="AB1083" s="101"/>
      <c r="AC1083" s="101"/>
    </row>
    <row r="1084" ht="14.25" customHeight="1">
      <c r="A1084" s="99"/>
      <c r="B1084" s="101"/>
      <c r="C1084" s="101"/>
      <c r="D1084" s="101"/>
      <c r="E1084" s="101"/>
      <c r="F1084" s="101"/>
      <c r="G1084" s="101"/>
      <c r="H1084" s="101"/>
      <c r="I1084" s="101"/>
      <c r="J1084" s="101"/>
      <c r="K1084" s="101"/>
      <c r="L1084" s="101"/>
      <c r="M1084" s="101"/>
      <c r="N1084" s="101"/>
      <c r="O1084" s="101"/>
      <c r="P1084" s="101"/>
      <c r="Q1084" s="101"/>
      <c r="R1084" s="101"/>
      <c r="S1084" s="101"/>
      <c r="T1084" s="101"/>
      <c r="U1084" s="101"/>
      <c r="V1084" s="101"/>
      <c r="W1084" s="101"/>
      <c r="X1084" s="101"/>
      <c r="Y1084" s="101"/>
      <c r="Z1084" s="101"/>
      <c r="AA1084" s="101"/>
      <c r="AB1084" s="101"/>
      <c r="AC1084" s="101"/>
    </row>
    <row r="1085" ht="14.25" customHeight="1">
      <c r="A1085" s="99"/>
      <c r="B1085" s="101"/>
      <c r="C1085" s="101"/>
      <c r="D1085" s="101"/>
      <c r="E1085" s="101"/>
      <c r="F1085" s="101"/>
      <c r="G1085" s="101"/>
      <c r="H1085" s="101"/>
      <c r="I1085" s="101"/>
      <c r="J1085" s="101"/>
      <c r="K1085" s="101"/>
      <c r="L1085" s="101"/>
      <c r="M1085" s="101"/>
      <c r="N1085" s="101"/>
      <c r="O1085" s="101"/>
      <c r="P1085" s="101"/>
      <c r="Q1085" s="101"/>
      <c r="R1085" s="101"/>
      <c r="S1085" s="101"/>
      <c r="T1085" s="101"/>
      <c r="U1085" s="101"/>
      <c r="V1085" s="101"/>
      <c r="W1085" s="101"/>
      <c r="X1085" s="101"/>
      <c r="Y1085" s="101"/>
      <c r="Z1085" s="101"/>
      <c r="AA1085" s="101"/>
      <c r="AB1085" s="101"/>
      <c r="AC1085" s="101"/>
    </row>
    <row r="1086" ht="14.25" customHeight="1">
      <c r="A1086" s="99"/>
      <c r="B1086" s="101"/>
      <c r="C1086" s="101"/>
      <c r="D1086" s="101"/>
      <c r="E1086" s="101"/>
      <c r="F1086" s="101"/>
      <c r="G1086" s="101"/>
      <c r="H1086" s="101"/>
      <c r="I1086" s="101"/>
      <c r="J1086" s="101"/>
      <c r="K1086" s="101"/>
      <c r="L1086" s="101"/>
      <c r="M1086" s="101"/>
      <c r="N1086" s="101"/>
      <c r="O1086" s="101"/>
      <c r="P1086" s="101"/>
      <c r="Q1086" s="101"/>
      <c r="R1086" s="101"/>
      <c r="S1086" s="101"/>
      <c r="T1086" s="101"/>
      <c r="U1086" s="101"/>
      <c r="V1086" s="101"/>
      <c r="W1086" s="101"/>
      <c r="X1086" s="101"/>
      <c r="Y1086" s="101"/>
      <c r="Z1086" s="101"/>
      <c r="AA1086" s="101"/>
      <c r="AB1086" s="101"/>
      <c r="AC1086" s="101"/>
    </row>
    <row r="1087" ht="14.25" customHeight="1">
      <c r="A1087" s="99"/>
      <c r="B1087" s="101"/>
      <c r="C1087" s="101"/>
      <c r="D1087" s="101"/>
      <c r="E1087" s="101"/>
      <c r="F1087" s="101"/>
      <c r="G1087" s="101"/>
      <c r="H1087" s="101"/>
      <c r="I1087" s="101"/>
      <c r="J1087" s="101"/>
      <c r="K1087" s="101"/>
      <c r="L1087" s="101"/>
      <c r="M1087" s="101"/>
      <c r="N1087" s="101"/>
      <c r="O1087" s="101"/>
      <c r="P1087" s="101"/>
      <c r="Q1087" s="101"/>
      <c r="R1087" s="101"/>
      <c r="S1087" s="101"/>
      <c r="T1087" s="101"/>
      <c r="U1087" s="101"/>
      <c r="V1087" s="101"/>
      <c r="W1087" s="101"/>
      <c r="X1087" s="101"/>
      <c r="Y1087" s="101"/>
      <c r="Z1087" s="101"/>
      <c r="AA1087" s="101"/>
      <c r="AB1087" s="101"/>
      <c r="AC1087" s="101"/>
    </row>
    <row r="1088" ht="14.25" customHeight="1">
      <c r="A1088" s="99"/>
      <c r="B1088" s="101"/>
      <c r="C1088" s="101"/>
      <c r="D1088" s="101"/>
      <c r="E1088" s="101"/>
      <c r="F1088" s="101"/>
      <c r="G1088" s="101"/>
      <c r="H1088" s="101"/>
      <c r="I1088" s="101"/>
      <c r="J1088" s="101"/>
      <c r="K1088" s="101"/>
      <c r="L1088" s="101"/>
      <c r="M1088" s="101"/>
      <c r="N1088" s="101"/>
      <c r="O1088" s="101"/>
      <c r="P1088" s="101"/>
      <c r="Q1088" s="101"/>
      <c r="R1088" s="101"/>
      <c r="S1088" s="101"/>
      <c r="T1088" s="101"/>
      <c r="U1088" s="101"/>
      <c r="V1088" s="101"/>
      <c r="W1088" s="101"/>
      <c r="X1088" s="101"/>
      <c r="Y1088" s="101"/>
      <c r="Z1088" s="101"/>
      <c r="AA1088" s="101"/>
      <c r="AB1088" s="101"/>
      <c r="AC1088" s="101"/>
    </row>
    <row r="1089" ht="14.25" customHeight="1">
      <c r="A1089" s="99"/>
      <c r="B1089" s="101"/>
      <c r="C1089" s="101"/>
      <c r="D1089" s="101"/>
      <c r="E1089" s="101"/>
      <c r="F1089" s="101"/>
      <c r="G1089" s="101"/>
      <c r="H1089" s="101"/>
      <c r="I1089" s="101"/>
      <c r="J1089" s="101"/>
      <c r="K1089" s="101"/>
      <c r="L1089" s="101"/>
      <c r="M1089" s="101"/>
      <c r="N1089" s="101"/>
      <c r="O1089" s="101"/>
      <c r="P1089" s="101"/>
      <c r="Q1089" s="101"/>
      <c r="R1089" s="101"/>
      <c r="S1089" s="101"/>
      <c r="T1089" s="101"/>
      <c r="U1089" s="101"/>
      <c r="V1089" s="101"/>
      <c r="W1089" s="101"/>
      <c r="X1089" s="101"/>
      <c r="Y1089" s="101"/>
      <c r="Z1089" s="101"/>
      <c r="AA1089" s="101"/>
      <c r="AB1089" s="101"/>
      <c r="AC1089" s="101"/>
    </row>
    <row r="1090" ht="14.25" customHeight="1">
      <c r="A1090" s="99"/>
      <c r="B1090" s="101"/>
      <c r="C1090" s="101"/>
      <c r="D1090" s="101"/>
      <c r="E1090" s="101"/>
      <c r="F1090" s="101"/>
      <c r="G1090" s="101"/>
      <c r="H1090" s="101"/>
      <c r="I1090" s="101"/>
      <c r="J1090" s="101"/>
      <c r="K1090" s="101"/>
      <c r="L1090" s="101"/>
      <c r="M1090" s="101"/>
      <c r="N1090" s="101"/>
      <c r="O1090" s="101"/>
      <c r="P1090" s="101"/>
      <c r="Q1090" s="101"/>
      <c r="R1090" s="101"/>
      <c r="S1090" s="101"/>
      <c r="T1090" s="101"/>
      <c r="U1090" s="101"/>
      <c r="V1090" s="101"/>
      <c r="W1090" s="101"/>
      <c r="X1090" s="101"/>
      <c r="Y1090" s="101"/>
      <c r="Z1090" s="101"/>
      <c r="AA1090" s="101"/>
      <c r="AB1090" s="101"/>
      <c r="AC1090" s="101"/>
    </row>
    <row r="1091" ht="14.25" customHeight="1">
      <c r="A1091" s="99"/>
      <c r="B1091" s="101"/>
      <c r="C1091" s="101"/>
      <c r="D1091" s="101"/>
      <c r="E1091" s="101"/>
      <c r="F1091" s="101"/>
      <c r="G1091" s="101"/>
      <c r="H1091" s="101"/>
      <c r="I1091" s="101"/>
      <c r="J1091" s="101"/>
      <c r="K1091" s="101"/>
      <c r="L1091" s="101"/>
      <c r="M1091" s="101"/>
      <c r="N1091" s="101"/>
      <c r="O1091" s="101"/>
      <c r="P1091" s="101"/>
      <c r="Q1091" s="101"/>
      <c r="R1091" s="101"/>
      <c r="S1091" s="101"/>
      <c r="T1091" s="101"/>
      <c r="U1091" s="101"/>
      <c r="V1091" s="101"/>
      <c r="W1091" s="101"/>
      <c r="X1091" s="101"/>
      <c r="Y1091" s="101"/>
      <c r="Z1091" s="101"/>
      <c r="AA1091" s="101"/>
      <c r="AB1091" s="101"/>
      <c r="AC1091" s="101"/>
    </row>
    <row r="1092" ht="14.25" customHeight="1">
      <c r="A1092" s="99"/>
      <c r="B1092" s="101"/>
      <c r="C1092" s="101"/>
      <c r="D1092" s="101"/>
      <c r="E1092" s="101"/>
      <c r="F1092" s="101"/>
      <c r="G1092" s="101"/>
      <c r="H1092" s="101"/>
      <c r="I1092" s="101"/>
      <c r="J1092" s="101"/>
      <c r="K1092" s="101"/>
      <c r="L1092" s="101"/>
      <c r="M1092" s="101"/>
      <c r="N1092" s="101"/>
      <c r="O1092" s="101"/>
      <c r="P1092" s="101"/>
      <c r="Q1092" s="101"/>
      <c r="R1092" s="101"/>
      <c r="S1092" s="101"/>
      <c r="T1092" s="101"/>
      <c r="U1092" s="101"/>
      <c r="V1092" s="101"/>
      <c r="W1092" s="101"/>
      <c r="X1092" s="101"/>
      <c r="Y1092" s="101"/>
      <c r="Z1092" s="101"/>
      <c r="AA1092" s="101"/>
      <c r="AB1092" s="101"/>
      <c r="AC1092" s="101"/>
    </row>
    <row r="1093" ht="14.25" customHeight="1">
      <c r="A1093" s="99"/>
      <c r="B1093" s="101"/>
      <c r="C1093" s="101"/>
      <c r="D1093" s="101"/>
      <c r="E1093" s="101"/>
      <c r="F1093" s="101"/>
      <c r="G1093" s="101"/>
      <c r="H1093" s="101"/>
      <c r="I1093" s="101"/>
      <c r="J1093" s="101"/>
      <c r="K1093" s="101"/>
      <c r="L1093" s="101"/>
      <c r="M1093" s="101"/>
      <c r="N1093" s="101"/>
      <c r="O1093" s="101"/>
      <c r="P1093" s="101"/>
      <c r="Q1093" s="101"/>
      <c r="R1093" s="101"/>
      <c r="S1093" s="101"/>
      <c r="T1093" s="101"/>
      <c r="U1093" s="101"/>
      <c r="V1093" s="101"/>
      <c r="W1093" s="101"/>
      <c r="X1093" s="101"/>
      <c r="Y1093" s="101"/>
      <c r="Z1093" s="101"/>
      <c r="AA1093" s="101"/>
      <c r="AB1093" s="101"/>
      <c r="AC1093" s="101"/>
    </row>
    <row r="1094" ht="14.25" customHeight="1">
      <c r="A1094" s="99"/>
      <c r="B1094" s="101"/>
      <c r="C1094" s="101"/>
      <c r="D1094" s="101"/>
      <c r="E1094" s="101"/>
      <c r="F1094" s="101"/>
      <c r="G1094" s="101"/>
      <c r="H1094" s="101"/>
      <c r="I1094" s="101"/>
      <c r="J1094" s="101"/>
      <c r="K1094" s="101"/>
      <c r="L1094" s="101"/>
      <c r="M1094" s="101"/>
      <c r="N1094" s="101"/>
      <c r="O1094" s="101"/>
      <c r="P1094" s="101"/>
      <c r="Q1094" s="101"/>
      <c r="R1094" s="101"/>
      <c r="S1094" s="101"/>
      <c r="T1094" s="101"/>
      <c r="U1094" s="101"/>
      <c r="V1094" s="101"/>
      <c r="W1094" s="101"/>
      <c r="X1094" s="101"/>
      <c r="Y1094" s="101"/>
      <c r="Z1094" s="101"/>
      <c r="AA1094" s="101"/>
      <c r="AB1094" s="101"/>
      <c r="AC1094" s="101"/>
    </row>
    <row r="1095" ht="14.25" customHeight="1">
      <c r="A1095" s="99"/>
      <c r="B1095" s="101"/>
      <c r="C1095" s="101"/>
      <c r="D1095" s="101"/>
      <c r="E1095" s="101"/>
      <c r="F1095" s="101"/>
      <c r="G1095" s="101"/>
      <c r="H1095" s="101"/>
      <c r="I1095" s="101"/>
      <c r="J1095" s="101"/>
      <c r="K1095" s="101"/>
      <c r="L1095" s="101"/>
      <c r="M1095" s="101"/>
      <c r="N1095" s="101"/>
      <c r="O1095" s="101"/>
      <c r="P1095" s="101"/>
      <c r="Q1095" s="101"/>
      <c r="R1095" s="101"/>
      <c r="S1095" s="101"/>
      <c r="T1095" s="101"/>
      <c r="U1095" s="101"/>
      <c r="V1095" s="101"/>
      <c r="W1095" s="101"/>
      <c r="X1095" s="101"/>
      <c r="Y1095" s="101"/>
      <c r="Z1095" s="101"/>
      <c r="AA1095" s="101"/>
      <c r="AB1095" s="101"/>
      <c r="AC1095" s="101"/>
    </row>
    <row r="1096" ht="14.25" customHeight="1">
      <c r="A1096" s="99"/>
      <c r="B1096" s="101"/>
      <c r="C1096" s="101"/>
      <c r="D1096" s="101"/>
      <c r="E1096" s="101"/>
      <c r="F1096" s="101"/>
      <c r="G1096" s="101"/>
      <c r="H1096" s="101"/>
      <c r="I1096" s="101"/>
      <c r="J1096" s="101"/>
      <c r="K1096" s="101"/>
      <c r="L1096" s="101"/>
      <c r="M1096" s="101"/>
      <c r="N1096" s="101"/>
      <c r="O1096" s="101"/>
      <c r="P1096" s="101"/>
      <c r="Q1096" s="101"/>
      <c r="R1096" s="101"/>
      <c r="S1096" s="101"/>
      <c r="T1096" s="101"/>
      <c r="U1096" s="101"/>
      <c r="V1096" s="101"/>
      <c r="W1096" s="101"/>
      <c r="X1096" s="101"/>
      <c r="Y1096" s="101"/>
      <c r="Z1096" s="101"/>
      <c r="AA1096" s="101"/>
      <c r="AB1096" s="101"/>
      <c r="AC1096" s="101"/>
    </row>
    <row r="1097" ht="14.25" customHeight="1">
      <c r="A1097" s="99"/>
      <c r="B1097" s="101"/>
      <c r="C1097" s="101"/>
      <c r="D1097" s="101"/>
      <c r="E1097" s="101"/>
      <c r="F1097" s="101"/>
      <c r="G1097" s="101"/>
      <c r="H1097" s="101"/>
      <c r="I1097" s="101"/>
      <c r="J1097" s="101"/>
      <c r="K1097" s="101"/>
      <c r="L1097" s="101"/>
      <c r="M1097" s="101"/>
      <c r="N1097" s="101"/>
      <c r="O1097" s="101"/>
      <c r="P1097" s="101"/>
      <c r="Q1097" s="101"/>
      <c r="R1097" s="101"/>
      <c r="S1097" s="101"/>
      <c r="T1097" s="101"/>
      <c r="U1097" s="101"/>
      <c r="V1097" s="101"/>
      <c r="W1097" s="101"/>
      <c r="X1097" s="101"/>
      <c r="Y1097" s="101"/>
      <c r="Z1097" s="101"/>
      <c r="AA1097" s="101"/>
      <c r="AB1097" s="101"/>
      <c r="AC1097" s="101"/>
    </row>
    <row r="1098" ht="14.25" customHeight="1">
      <c r="A1098" s="99"/>
      <c r="B1098" s="101"/>
      <c r="C1098" s="101"/>
      <c r="D1098" s="101"/>
      <c r="E1098" s="101"/>
      <c r="F1098" s="101"/>
      <c r="G1098" s="101"/>
      <c r="H1098" s="101"/>
      <c r="I1098" s="101"/>
      <c r="J1098" s="101"/>
      <c r="K1098" s="101"/>
      <c r="L1098" s="101"/>
      <c r="M1098" s="101"/>
      <c r="N1098" s="101"/>
      <c r="O1098" s="101"/>
      <c r="P1098" s="101"/>
      <c r="Q1098" s="101"/>
      <c r="R1098" s="101"/>
      <c r="S1098" s="101"/>
      <c r="T1098" s="101"/>
      <c r="U1098" s="101"/>
      <c r="V1098" s="101"/>
      <c r="W1098" s="101"/>
      <c r="X1098" s="101"/>
      <c r="Y1098" s="101"/>
      <c r="Z1098" s="101"/>
      <c r="AA1098" s="101"/>
      <c r="AB1098" s="101"/>
      <c r="AC1098" s="101"/>
    </row>
    <row r="1099" ht="14.25" customHeight="1">
      <c r="A1099" s="99"/>
      <c r="B1099" s="101"/>
      <c r="C1099" s="101"/>
      <c r="D1099" s="101"/>
      <c r="E1099" s="101"/>
      <c r="F1099" s="101"/>
      <c r="G1099" s="101"/>
      <c r="H1099" s="101"/>
      <c r="I1099" s="101"/>
      <c r="J1099" s="101"/>
      <c r="K1099" s="101"/>
      <c r="L1099" s="101"/>
      <c r="M1099" s="101"/>
      <c r="N1099" s="101"/>
      <c r="O1099" s="101"/>
      <c r="P1099" s="101"/>
      <c r="Q1099" s="101"/>
      <c r="R1099" s="101"/>
      <c r="S1099" s="101"/>
      <c r="T1099" s="101"/>
      <c r="U1099" s="101"/>
      <c r="V1099" s="101"/>
      <c r="W1099" s="101"/>
      <c r="X1099" s="101"/>
      <c r="Y1099" s="101"/>
      <c r="Z1099" s="101"/>
      <c r="AA1099" s="101"/>
      <c r="AB1099" s="101"/>
      <c r="AC1099" s="101"/>
    </row>
    <row r="1100" ht="14.25" customHeight="1">
      <c r="A1100" s="99"/>
      <c r="B1100" s="101"/>
      <c r="C1100" s="101"/>
      <c r="D1100" s="101"/>
      <c r="E1100" s="101"/>
      <c r="F1100" s="101"/>
      <c r="G1100" s="101"/>
      <c r="H1100" s="101"/>
      <c r="I1100" s="101"/>
      <c r="J1100" s="101"/>
      <c r="K1100" s="101"/>
      <c r="L1100" s="101"/>
      <c r="M1100" s="101"/>
      <c r="N1100" s="101"/>
      <c r="O1100" s="101"/>
      <c r="P1100" s="101"/>
      <c r="Q1100" s="101"/>
      <c r="R1100" s="101"/>
      <c r="S1100" s="101"/>
      <c r="T1100" s="101"/>
      <c r="U1100" s="101"/>
      <c r="V1100" s="101"/>
      <c r="W1100" s="101"/>
      <c r="X1100" s="101"/>
      <c r="Y1100" s="101"/>
      <c r="Z1100" s="101"/>
      <c r="AA1100" s="101"/>
      <c r="AB1100" s="101"/>
      <c r="AC1100" s="101"/>
    </row>
    <row r="1101" ht="14.25" customHeight="1">
      <c r="A1101" s="99"/>
      <c r="B1101" s="101"/>
      <c r="C1101" s="101"/>
      <c r="D1101" s="101"/>
      <c r="E1101" s="101"/>
      <c r="F1101" s="101"/>
      <c r="G1101" s="101"/>
      <c r="H1101" s="101"/>
      <c r="I1101" s="101"/>
      <c r="J1101" s="101"/>
      <c r="K1101" s="101"/>
      <c r="L1101" s="101"/>
      <c r="M1101" s="101"/>
      <c r="N1101" s="101"/>
      <c r="O1101" s="101"/>
      <c r="P1101" s="101"/>
      <c r="Q1101" s="101"/>
      <c r="R1101" s="101"/>
      <c r="S1101" s="101"/>
      <c r="T1101" s="101"/>
      <c r="U1101" s="101"/>
      <c r="V1101" s="101"/>
      <c r="W1101" s="101"/>
      <c r="X1101" s="101"/>
      <c r="Y1101" s="101"/>
      <c r="Z1101" s="101"/>
      <c r="AA1101" s="101"/>
      <c r="AB1101" s="101"/>
      <c r="AC1101" s="101"/>
    </row>
    <row r="1102" ht="14.25" customHeight="1">
      <c r="A1102" s="99"/>
      <c r="B1102" s="101"/>
      <c r="C1102" s="101"/>
      <c r="D1102" s="101"/>
      <c r="E1102" s="101"/>
      <c r="F1102" s="101"/>
      <c r="G1102" s="101"/>
      <c r="H1102" s="101"/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101"/>
      <c r="S1102" s="101"/>
      <c r="T1102" s="101"/>
      <c r="U1102" s="101"/>
      <c r="V1102" s="101"/>
      <c r="W1102" s="101"/>
      <c r="X1102" s="101"/>
      <c r="Y1102" s="101"/>
      <c r="Z1102" s="101"/>
      <c r="AA1102" s="101"/>
      <c r="AB1102" s="101"/>
      <c r="AC1102" s="101"/>
    </row>
    <row r="1103" ht="14.25" customHeight="1">
      <c r="A1103" s="99"/>
      <c r="B1103" s="101"/>
      <c r="C1103" s="101"/>
      <c r="D1103" s="101"/>
      <c r="E1103" s="101"/>
      <c r="F1103" s="101"/>
      <c r="G1103" s="101"/>
      <c r="H1103" s="101"/>
      <c r="I1103" s="101"/>
      <c r="J1103" s="101"/>
      <c r="K1103" s="101"/>
      <c r="L1103" s="101"/>
      <c r="M1103" s="101"/>
      <c r="N1103" s="101"/>
      <c r="O1103" s="101"/>
      <c r="P1103" s="101"/>
      <c r="Q1103" s="101"/>
      <c r="R1103" s="101"/>
      <c r="S1103" s="101"/>
      <c r="T1103" s="101"/>
      <c r="U1103" s="101"/>
      <c r="V1103" s="101"/>
      <c r="W1103" s="101"/>
      <c r="X1103" s="101"/>
      <c r="Y1103" s="101"/>
      <c r="Z1103" s="101"/>
      <c r="AA1103" s="101"/>
      <c r="AB1103" s="101"/>
      <c r="AC1103" s="101"/>
    </row>
    <row r="1104" ht="14.25" customHeight="1">
      <c r="A1104" s="99"/>
      <c r="B1104" s="101"/>
      <c r="C1104" s="101"/>
      <c r="D1104" s="101"/>
      <c r="E1104" s="101"/>
      <c r="F1104" s="101"/>
      <c r="G1104" s="101"/>
      <c r="H1104" s="101"/>
      <c r="I1104" s="101"/>
      <c r="J1104" s="101"/>
      <c r="K1104" s="101"/>
      <c r="L1104" s="101"/>
      <c r="M1104" s="101"/>
      <c r="N1104" s="101"/>
      <c r="O1104" s="101"/>
      <c r="P1104" s="101"/>
      <c r="Q1104" s="101"/>
      <c r="R1104" s="101"/>
      <c r="S1104" s="101"/>
      <c r="T1104" s="101"/>
      <c r="U1104" s="101"/>
      <c r="V1104" s="101"/>
      <c r="W1104" s="101"/>
      <c r="X1104" s="101"/>
      <c r="Y1104" s="101"/>
      <c r="Z1104" s="101"/>
      <c r="AA1104" s="101"/>
      <c r="AB1104" s="101"/>
      <c r="AC1104" s="101"/>
    </row>
    <row r="1105" ht="14.25" customHeight="1">
      <c r="A1105" s="99"/>
      <c r="B1105" s="101"/>
      <c r="C1105" s="101"/>
      <c r="D1105" s="101"/>
      <c r="E1105" s="101"/>
      <c r="F1105" s="101"/>
      <c r="G1105" s="101"/>
      <c r="H1105" s="101"/>
      <c r="I1105" s="101"/>
      <c r="J1105" s="101"/>
      <c r="K1105" s="101"/>
      <c r="L1105" s="101"/>
      <c r="M1105" s="101"/>
      <c r="N1105" s="101"/>
      <c r="O1105" s="101"/>
      <c r="P1105" s="101"/>
      <c r="Q1105" s="101"/>
      <c r="R1105" s="101"/>
      <c r="S1105" s="101"/>
      <c r="T1105" s="101"/>
      <c r="U1105" s="101"/>
      <c r="V1105" s="101"/>
      <c r="W1105" s="101"/>
      <c r="X1105" s="101"/>
      <c r="Y1105" s="101"/>
      <c r="Z1105" s="101"/>
      <c r="AA1105" s="101"/>
      <c r="AB1105" s="101"/>
      <c r="AC1105" s="101"/>
    </row>
    <row r="1106" ht="14.25" customHeight="1">
      <c r="A1106" s="99"/>
      <c r="B1106" s="101"/>
      <c r="C1106" s="101"/>
      <c r="D1106" s="101"/>
      <c r="E1106" s="101"/>
      <c r="F1106" s="101"/>
      <c r="G1106" s="101"/>
      <c r="H1106" s="101"/>
      <c r="I1106" s="101"/>
      <c r="J1106" s="101"/>
      <c r="K1106" s="101"/>
      <c r="L1106" s="101"/>
      <c r="M1106" s="101"/>
      <c r="N1106" s="101"/>
      <c r="O1106" s="101"/>
      <c r="P1106" s="101"/>
      <c r="Q1106" s="101"/>
      <c r="R1106" s="101"/>
      <c r="S1106" s="101"/>
      <c r="T1106" s="101"/>
      <c r="U1106" s="101"/>
      <c r="V1106" s="101"/>
      <c r="W1106" s="101"/>
      <c r="X1106" s="101"/>
      <c r="Y1106" s="101"/>
      <c r="Z1106" s="101"/>
      <c r="AA1106" s="101"/>
      <c r="AB1106" s="101"/>
      <c r="AC1106" s="101"/>
    </row>
    <row r="1107" ht="14.25" customHeight="1">
      <c r="A1107" s="99"/>
      <c r="B1107" s="101"/>
      <c r="C1107" s="101"/>
      <c r="D1107" s="101"/>
      <c r="E1107" s="101"/>
      <c r="F1107" s="101"/>
      <c r="G1107" s="101"/>
      <c r="H1107" s="101"/>
      <c r="I1107" s="101"/>
      <c r="J1107" s="101"/>
      <c r="K1107" s="101"/>
      <c r="L1107" s="101"/>
      <c r="M1107" s="101"/>
      <c r="N1107" s="101"/>
      <c r="O1107" s="101"/>
      <c r="P1107" s="101"/>
      <c r="Q1107" s="101"/>
      <c r="R1107" s="101"/>
      <c r="S1107" s="101"/>
      <c r="T1107" s="101"/>
      <c r="U1107" s="101"/>
      <c r="V1107" s="101"/>
      <c r="W1107" s="101"/>
      <c r="X1107" s="101"/>
      <c r="Y1107" s="101"/>
      <c r="Z1107" s="101"/>
      <c r="AA1107" s="101"/>
      <c r="AB1107" s="101"/>
      <c r="AC1107" s="101"/>
    </row>
    <row r="1108" ht="14.25" customHeight="1">
      <c r="A1108" s="99"/>
      <c r="B1108" s="101"/>
      <c r="C1108" s="101"/>
      <c r="D1108" s="101"/>
      <c r="E1108" s="101"/>
      <c r="F1108" s="101"/>
      <c r="G1108" s="101"/>
      <c r="H1108" s="101"/>
      <c r="I1108" s="101"/>
      <c r="J1108" s="101"/>
      <c r="K1108" s="101"/>
      <c r="L1108" s="101"/>
      <c r="M1108" s="101"/>
      <c r="N1108" s="101"/>
      <c r="O1108" s="101"/>
      <c r="P1108" s="101"/>
      <c r="Q1108" s="101"/>
      <c r="R1108" s="101"/>
      <c r="S1108" s="101"/>
      <c r="T1108" s="101"/>
      <c r="U1108" s="101"/>
      <c r="V1108" s="101"/>
      <c r="W1108" s="101"/>
      <c r="X1108" s="101"/>
      <c r="Y1108" s="101"/>
      <c r="Z1108" s="101"/>
      <c r="AA1108" s="101"/>
      <c r="AB1108" s="101"/>
      <c r="AC1108" s="101"/>
    </row>
    <row r="1109" ht="14.25" customHeight="1">
      <c r="A1109" s="99"/>
      <c r="B1109" s="101"/>
      <c r="C1109" s="101"/>
      <c r="D1109" s="101"/>
      <c r="E1109" s="101"/>
      <c r="F1109" s="101"/>
      <c r="G1109" s="101"/>
      <c r="H1109" s="101"/>
      <c r="I1109" s="101"/>
      <c r="J1109" s="101"/>
      <c r="K1109" s="101"/>
      <c r="L1109" s="101"/>
      <c r="M1109" s="101"/>
      <c r="N1109" s="101"/>
      <c r="O1109" s="101"/>
      <c r="P1109" s="101"/>
      <c r="Q1109" s="101"/>
      <c r="R1109" s="101"/>
      <c r="S1109" s="101"/>
      <c r="T1109" s="101"/>
      <c r="U1109" s="101"/>
      <c r="V1109" s="101"/>
      <c r="W1109" s="101"/>
      <c r="X1109" s="101"/>
      <c r="Y1109" s="101"/>
      <c r="Z1109" s="101"/>
      <c r="AA1109" s="101"/>
      <c r="AB1109" s="101"/>
      <c r="AC1109" s="101"/>
    </row>
    <row r="1110" ht="14.25" customHeight="1">
      <c r="A1110" s="99"/>
      <c r="B1110" s="101"/>
      <c r="C1110" s="101"/>
      <c r="D1110" s="101"/>
      <c r="E1110" s="101"/>
      <c r="F1110" s="101"/>
      <c r="G1110" s="101"/>
      <c r="H1110" s="101"/>
      <c r="I1110" s="101"/>
      <c r="J1110" s="101"/>
      <c r="K1110" s="101"/>
      <c r="L1110" s="101"/>
      <c r="M1110" s="101"/>
      <c r="N1110" s="101"/>
      <c r="O1110" s="101"/>
      <c r="P1110" s="101"/>
      <c r="Q1110" s="101"/>
      <c r="R1110" s="101"/>
      <c r="S1110" s="101"/>
      <c r="T1110" s="101"/>
      <c r="U1110" s="101"/>
      <c r="V1110" s="101"/>
      <c r="W1110" s="101"/>
      <c r="X1110" s="101"/>
      <c r="Y1110" s="101"/>
      <c r="Z1110" s="101"/>
      <c r="AA1110" s="101"/>
      <c r="AB1110" s="101"/>
      <c r="AC1110" s="101"/>
    </row>
    <row r="1111" ht="14.25" customHeight="1">
      <c r="A1111" s="99"/>
      <c r="B1111" s="101"/>
      <c r="C1111" s="101"/>
      <c r="D1111" s="101"/>
      <c r="E1111" s="101"/>
      <c r="F1111" s="101"/>
      <c r="G1111" s="101"/>
      <c r="H1111" s="101"/>
      <c r="I1111" s="101"/>
      <c r="J1111" s="101"/>
      <c r="K1111" s="101"/>
      <c r="L1111" s="101"/>
      <c r="M1111" s="101"/>
      <c r="N1111" s="101"/>
      <c r="O1111" s="101"/>
      <c r="P1111" s="101"/>
      <c r="Q1111" s="101"/>
      <c r="R1111" s="101"/>
      <c r="S1111" s="101"/>
      <c r="T1111" s="101"/>
      <c r="U1111" s="101"/>
      <c r="V1111" s="101"/>
      <c r="W1111" s="101"/>
      <c r="X1111" s="101"/>
      <c r="Y1111" s="101"/>
      <c r="Z1111" s="101"/>
      <c r="AA1111" s="101"/>
      <c r="AB1111" s="101"/>
      <c r="AC1111" s="101"/>
    </row>
    <row r="1112" ht="14.25" customHeight="1">
      <c r="A1112" s="99"/>
      <c r="B1112" s="101"/>
      <c r="C1112" s="101"/>
      <c r="D1112" s="101"/>
      <c r="E1112" s="101"/>
      <c r="F1112" s="101"/>
      <c r="G1112" s="101"/>
      <c r="H1112" s="101"/>
      <c r="I1112" s="101"/>
      <c r="J1112" s="101"/>
      <c r="K1112" s="101"/>
      <c r="L1112" s="101"/>
      <c r="M1112" s="101"/>
      <c r="N1112" s="101"/>
      <c r="O1112" s="101"/>
      <c r="P1112" s="101"/>
      <c r="Q1112" s="101"/>
      <c r="R1112" s="101"/>
      <c r="S1112" s="101"/>
      <c r="T1112" s="101"/>
      <c r="U1112" s="101"/>
      <c r="V1112" s="101"/>
      <c r="W1112" s="101"/>
      <c r="X1112" s="101"/>
      <c r="Y1112" s="101"/>
      <c r="Z1112" s="101"/>
      <c r="AA1112" s="101"/>
      <c r="AB1112" s="101"/>
      <c r="AC1112" s="101"/>
    </row>
    <row r="1113" ht="14.25" customHeight="1">
      <c r="A1113" s="99"/>
      <c r="B1113" s="101"/>
      <c r="C1113" s="101"/>
      <c r="D1113" s="101"/>
      <c r="E1113" s="101"/>
      <c r="F1113" s="101"/>
      <c r="G1113" s="101"/>
      <c r="H1113" s="101"/>
      <c r="I1113" s="101"/>
      <c r="J1113" s="101"/>
      <c r="K1113" s="101"/>
      <c r="L1113" s="101"/>
      <c r="M1113" s="101"/>
      <c r="N1113" s="101"/>
      <c r="O1113" s="101"/>
      <c r="P1113" s="101"/>
      <c r="Q1113" s="101"/>
      <c r="R1113" s="101"/>
      <c r="S1113" s="101"/>
      <c r="T1113" s="101"/>
      <c r="U1113" s="101"/>
      <c r="V1113" s="101"/>
      <c r="W1113" s="101"/>
      <c r="X1113" s="101"/>
      <c r="Y1113" s="101"/>
      <c r="Z1113" s="101"/>
      <c r="AA1113" s="101"/>
      <c r="AB1113" s="101"/>
      <c r="AC1113" s="101"/>
    </row>
    <row r="1114" ht="14.25" customHeight="1">
      <c r="A1114" s="99"/>
      <c r="B1114" s="101"/>
      <c r="C1114" s="101"/>
      <c r="D1114" s="101"/>
      <c r="E1114" s="101"/>
      <c r="F1114" s="101"/>
      <c r="G1114" s="101"/>
      <c r="H1114" s="101"/>
      <c r="I1114" s="101"/>
      <c r="J1114" s="101"/>
      <c r="K1114" s="101"/>
      <c r="L1114" s="101"/>
      <c r="M1114" s="101"/>
      <c r="N1114" s="101"/>
      <c r="O1114" s="101"/>
      <c r="P1114" s="101"/>
      <c r="Q1114" s="101"/>
      <c r="R1114" s="101"/>
      <c r="S1114" s="101"/>
      <c r="T1114" s="101"/>
      <c r="U1114" s="101"/>
      <c r="V1114" s="101"/>
      <c r="W1114" s="101"/>
      <c r="X1114" s="101"/>
      <c r="Y1114" s="101"/>
      <c r="Z1114" s="101"/>
      <c r="AA1114" s="101"/>
      <c r="AB1114" s="101"/>
      <c r="AC1114" s="101"/>
    </row>
    <row r="1115" ht="14.25" customHeight="1">
      <c r="A1115" s="99"/>
      <c r="B1115" s="101"/>
      <c r="C1115" s="101"/>
      <c r="D1115" s="101"/>
      <c r="E1115" s="101"/>
      <c r="F1115" s="101"/>
      <c r="G1115" s="101"/>
      <c r="H1115" s="101"/>
      <c r="I1115" s="101"/>
      <c r="J1115" s="101"/>
      <c r="K1115" s="101"/>
      <c r="L1115" s="101"/>
      <c r="M1115" s="101"/>
      <c r="N1115" s="101"/>
      <c r="O1115" s="101"/>
      <c r="P1115" s="101"/>
      <c r="Q1115" s="101"/>
      <c r="R1115" s="101"/>
      <c r="S1115" s="101"/>
      <c r="T1115" s="101"/>
      <c r="U1115" s="101"/>
      <c r="V1115" s="101"/>
      <c r="W1115" s="101"/>
      <c r="X1115" s="101"/>
      <c r="Y1115" s="101"/>
      <c r="Z1115" s="101"/>
      <c r="AA1115" s="101"/>
      <c r="AB1115" s="101"/>
      <c r="AC1115" s="101"/>
    </row>
    <row r="1116" ht="14.25" customHeight="1">
      <c r="A1116" s="99"/>
      <c r="B1116" s="101"/>
      <c r="C1116" s="101"/>
      <c r="D1116" s="101"/>
      <c r="E1116" s="101"/>
      <c r="F1116" s="101"/>
      <c r="G1116" s="101"/>
      <c r="H1116" s="101"/>
      <c r="I1116" s="101"/>
      <c r="J1116" s="101"/>
      <c r="K1116" s="101"/>
      <c r="L1116" s="101"/>
      <c r="M1116" s="101"/>
      <c r="N1116" s="101"/>
      <c r="O1116" s="101"/>
      <c r="P1116" s="101"/>
      <c r="Q1116" s="101"/>
      <c r="R1116" s="101"/>
      <c r="S1116" s="101"/>
      <c r="T1116" s="101"/>
      <c r="U1116" s="101"/>
      <c r="V1116" s="101"/>
      <c r="W1116" s="101"/>
      <c r="X1116" s="101"/>
      <c r="Y1116" s="101"/>
      <c r="Z1116" s="101"/>
      <c r="AA1116" s="101"/>
      <c r="AB1116" s="101"/>
      <c r="AC1116" s="101"/>
    </row>
    <row r="1117" ht="14.25" customHeight="1">
      <c r="A1117" s="99"/>
      <c r="B1117" s="101"/>
      <c r="C1117" s="101"/>
      <c r="D1117" s="101"/>
      <c r="E1117" s="101"/>
      <c r="F1117" s="101"/>
      <c r="G1117" s="101"/>
      <c r="H1117" s="101"/>
      <c r="I1117" s="101"/>
      <c r="J1117" s="101"/>
      <c r="K1117" s="101"/>
      <c r="L1117" s="101"/>
      <c r="M1117" s="101"/>
      <c r="N1117" s="101"/>
      <c r="O1117" s="101"/>
      <c r="P1117" s="101"/>
      <c r="Q1117" s="101"/>
      <c r="R1117" s="101"/>
      <c r="S1117" s="101"/>
      <c r="T1117" s="101"/>
      <c r="U1117" s="101"/>
      <c r="V1117" s="101"/>
      <c r="W1117" s="101"/>
      <c r="X1117" s="101"/>
      <c r="Y1117" s="101"/>
      <c r="Z1117" s="101"/>
      <c r="AA1117" s="101"/>
      <c r="AB1117" s="101"/>
      <c r="AC1117" s="101"/>
    </row>
    <row r="1118" ht="14.25" customHeight="1">
      <c r="A1118" s="99"/>
      <c r="B1118" s="101"/>
      <c r="C1118" s="101"/>
      <c r="D1118" s="101"/>
      <c r="E1118" s="101"/>
      <c r="F1118" s="101"/>
      <c r="G1118" s="101"/>
      <c r="H1118" s="101"/>
      <c r="I1118" s="101"/>
      <c r="J1118" s="101"/>
      <c r="K1118" s="101"/>
      <c r="L1118" s="101"/>
      <c r="M1118" s="101"/>
      <c r="N1118" s="101"/>
      <c r="O1118" s="101"/>
      <c r="P1118" s="101"/>
      <c r="Q1118" s="101"/>
      <c r="R1118" s="101"/>
      <c r="S1118" s="101"/>
      <c r="T1118" s="101"/>
      <c r="U1118" s="101"/>
      <c r="V1118" s="101"/>
      <c r="W1118" s="101"/>
      <c r="X1118" s="101"/>
      <c r="Y1118" s="101"/>
      <c r="Z1118" s="101"/>
      <c r="AA1118" s="101"/>
      <c r="AB1118" s="101"/>
      <c r="AC1118" s="101"/>
    </row>
    <row r="1119" ht="14.25" customHeight="1">
      <c r="A1119" s="99"/>
      <c r="B1119" s="101"/>
      <c r="C1119" s="101"/>
      <c r="D1119" s="101"/>
      <c r="E1119" s="101"/>
      <c r="F1119" s="101"/>
      <c r="G1119" s="101"/>
      <c r="H1119" s="101"/>
      <c r="I1119" s="101"/>
      <c r="J1119" s="101"/>
      <c r="K1119" s="101"/>
      <c r="L1119" s="101"/>
      <c r="M1119" s="101"/>
      <c r="N1119" s="101"/>
      <c r="O1119" s="101"/>
      <c r="P1119" s="101"/>
      <c r="Q1119" s="101"/>
      <c r="R1119" s="101"/>
      <c r="S1119" s="101"/>
      <c r="T1119" s="101"/>
      <c r="U1119" s="101"/>
      <c r="V1119" s="101"/>
      <c r="W1119" s="101"/>
      <c r="X1119" s="101"/>
      <c r="Y1119" s="101"/>
      <c r="Z1119" s="101"/>
      <c r="AA1119" s="101"/>
      <c r="AB1119" s="101"/>
      <c r="AC1119" s="101"/>
    </row>
    <row r="1120" ht="14.25" customHeight="1">
      <c r="A1120" s="99"/>
      <c r="B1120" s="101"/>
      <c r="C1120" s="101"/>
      <c r="D1120" s="101"/>
      <c r="E1120" s="101"/>
      <c r="F1120" s="101"/>
      <c r="G1120" s="101"/>
      <c r="H1120" s="101"/>
      <c r="I1120" s="101"/>
      <c r="J1120" s="101"/>
      <c r="K1120" s="101"/>
      <c r="L1120" s="101"/>
      <c r="M1120" s="101"/>
      <c r="N1120" s="101"/>
      <c r="O1120" s="101"/>
      <c r="P1120" s="101"/>
      <c r="Q1120" s="101"/>
      <c r="R1120" s="101"/>
      <c r="S1120" s="101"/>
      <c r="T1120" s="101"/>
      <c r="U1120" s="101"/>
      <c r="V1120" s="101"/>
      <c r="W1120" s="101"/>
      <c r="X1120" s="101"/>
      <c r="Y1120" s="101"/>
      <c r="Z1120" s="101"/>
      <c r="AA1120" s="101"/>
      <c r="AB1120" s="101"/>
      <c r="AC1120" s="101"/>
    </row>
    <row r="1121" ht="14.25" customHeight="1">
      <c r="A1121" s="99"/>
      <c r="B1121" s="101"/>
      <c r="C1121" s="101"/>
      <c r="D1121" s="101"/>
      <c r="E1121" s="101"/>
      <c r="F1121" s="101"/>
      <c r="G1121" s="101"/>
      <c r="H1121" s="101"/>
      <c r="I1121" s="101"/>
      <c r="J1121" s="101"/>
      <c r="K1121" s="101"/>
      <c r="L1121" s="101"/>
      <c r="M1121" s="101"/>
      <c r="N1121" s="101"/>
      <c r="O1121" s="101"/>
      <c r="P1121" s="101"/>
      <c r="Q1121" s="101"/>
      <c r="R1121" s="101"/>
      <c r="S1121" s="101"/>
      <c r="T1121" s="101"/>
      <c r="U1121" s="101"/>
      <c r="V1121" s="101"/>
      <c r="W1121" s="101"/>
      <c r="X1121" s="101"/>
      <c r="Y1121" s="101"/>
      <c r="Z1121" s="101"/>
      <c r="AA1121" s="101"/>
      <c r="AB1121" s="101"/>
      <c r="AC1121" s="101"/>
    </row>
    <row r="1122" ht="14.25" customHeight="1">
      <c r="A1122" s="99"/>
      <c r="B1122" s="101"/>
      <c r="C1122" s="101"/>
      <c r="D1122" s="101"/>
      <c r="E1122" s="101"/>
      <c r="F1122" s="101"/>
      <c r="G1122" s="101"/>
      <c r="H1122" s="101"/>
      <c r="I1122" s="101"/>
      <c r="J1122" s="101"/>
      <c r="K1122" s="101"/>
      <c r="L1122" s="101"/>
      <c r="M1122" s="101"/>
      <c r="N1122" s="101"/>
      <c r="O1122" s="101"/>
      <c r="P1122" s="101"/>
      <c r="Q1122" s="101"/>
      <c r="R1122" s="101"/>
      <c r="S1122" s="101"/>
      <c r="T1122" s="101"/>
      <c r="U1122" s="101"/>
      <c r="V1122" s="101"/>
      <c r="W1122" s="101"/>
      <c r="X1122" s="101"/>
      <c r="Y1122" s="101"/>
      <c r="Z1122" s="101"/>
      <c r="AA1122" s="101"/>
      <c r="AB1122" s="101"/>
      <c r="AC1122" s="101"/>
    </row>
    <row r="1123" ht="14.25" customHeight="1">
      <c r="A1123" s="99"/>
      <c r="B1123" s="101"/>
      <c r="C1123" s="101"/>
      <c r="D1123" s="101"/>
      <c r="E1123" s="101"/>
      <c r="F1123" s="101"/>
      <c r="G1123" s="101"/>
      <c r="H1123" s="101"/>
      <c r="I1123" s="101"/>
      <c r="J1123" s="101"/>
      <c r="K1123" s="101"/>
      <c r="L1123" s="101"/>
      <c r="M1123" s="101"/>
      <c r="N1123" s="101"/>
      <c r="O1123" s="101"/>
      <c r="P1123" s="101"/>
      <c r="Q1123" s="101"/>
      <c r="R1123" s="101"/>
      <c r="S1123" s="101"/>
      <c r="T1123" s="101"/>
      <c r="U1123" s="101"/>
      <c r="V1123" s="101"/>
      <c r="W1123" s="101"/>
      <c r="X1123" s="101"/>
      <c r="Y1123" s="101"/>
      <c r="Z1123" s="101"/>
      <c r="AA1123" s="101"/>
      <c r="AB1123" s="101"/>
      <c r="AC1123" s="101"/>
    </row>
    <row r="1124" ht="14.25" customHeight="1">
      <c r="A1124" s="99"/>
      <c r="B1124" s="101"/>
      <c r="C1124" s="101"/>
      <c r="D1124" s="101"/>
      <c r="E1124" s="101"/>
      <c r="F1124" s="101"/>
      <c r="G1124" s="101"/>
      <c r="H1124" s="101"/>
      <c r="I1124" s="101"/>
      <c r="J1124" s="101"/>
      <c r="K1124" s="101"/>
      <c r="L1124" s="101"/>
      <c r="M1124" s="101"/>
      <c r="N1124" s="101"/>
      <c r="O1124" s="101"/>
      <c r="P1124" s="101"/>
      <c r="Q1124" s="101"/>
      <c r="R1124" s="101"/>
      <c r="S1124" s="101"/>
      <c r="T1124" s="101"/>
      <c r="U1124" s="101"/>
      <c r="V1124" s="101"/>
      <c r="W1124" s="101"/>
      <c r="X1124" s="101"/>
      <c r="Y1124" s="101"/>
      <c r="Z1124" s="101"/>
      <c r="AA1124" s="101"/>
      <c r="AB1124" s="101"/>
      <c r="AC1124" s="101"/>
    </row>
    <row r="1125" ht="14.25" customHeight="1">
      <c r="A1125" s="99"/>
      <c r="B1125" s="101"/>
      <c r="C1125" s="101"/>
      <c r="D1125" s="101"/>
      <c r="E1125" s="101"/>
      <c r="F1125" s="101"/>
      <c r="G1125" s="101"/>
      <c r="H1125" s="101"/>
      <c r="I1125" s="101"/>
      <c r="J1125" s="101"/>
      <c r="K1125" s="101"/>
      <c r="L1125" s="101"/>
      <c r="M1125" s="101"/>
      <c r="N1125" s="101"/>
      <c r="O1125" s="101"/>
      <c r="P1125" s="101"/>
      <c r="Q1125" s="101"/>
      <c r="R1125" s="101"/>
      <c r="S1125" s="101"/>
      <c r="T1125" s="101"/>
      <c r="U1125" s="101"/>
      <c r="V1125" s="101"/>
      <c r="W1125" s="101"/>
      <c r="X1125" s="101"/>
      <c r="Y1125" s="101"/>
      <c r="Z1125" s="101"/>
      <c r="AA1125" s="101"/>
      <c r="AB1125" s="101"/>
      <c r="AC1125" s="101"/>
    </row>
    <row r="1126" ht="14.25" customHeight="1">
      <c r="A1126" s="99"/>
      <c r="B1126" s="101"/>
      <c r="C1126" s="101"/>
      <c r="D1126" s="101"/>
      <c r="E1126" s="101"/>
      <c r="F1126" s="101"/>
      <c r="G1126" s="101"/>
      <c r="H1126" s="101"/>
      <c r="I1126" s="101"/>
      <c r="J1126" s="101"/>
      <c r="K1126" s="101"/>
      <c r="L1126" s="101"/>
      <c r="M1126" s="101"/>
      <c r="N1126" s="101"/>
      <c r="O1126" s="101"/>
      <c r="P1126" s="101"/>
      <c r="Q1126" s="101"/>
      <c r="R1126" s="101"/>
      <c r="S1126" s="101"/>
      <c r="T1126" s="101"/>
      <c r="U1126" s="101"/>
      <c r="V1126" s="101"/>
      <c r="W1126" s="101"/>
      <c r="X1126" s="101"/>
      <c r="Y1126" s="101"/>
      <c r="Z1126" s="101"/>
      <c r="AA1126" s="101"/>
      <c r="AB1126" s="101"/>
      <c r="AC1126" s="101"/>
    </row>
    <row r="1127" ht="14.25" customHeight="1">
      <c r="A1127" s="99"/>
      <c r="B1127" s="101"/>
      <c r="C1127" s="101"/>
      <c r="D1127" s="101"/>
      <c r="E1127" s="101"/>
      <c r="F1127" s="101"/>
      <c r="G1127" s="101"/>
      <c r="H1127" s="101"/>
      <c r="I1127" s="101"/>
      <c r="J1127" s="101"/>
      <c r="K1127" s="101"/>
      <c r="L1127" s="101"/>
      <c r="M1127" s="101"/>
      <c r="N1127" s="101"/>
      <c r="O1127" s="101"/>
      <c r="P1127" s="101"/>
      <c r="Q1127" s="101"/>
      <c r="R1127" s="101"/>
      <c r="S1127" s="101"/>
      <c r="T1127" s="101"/>
      <c r="U1127" s="101"/>
      <c r="V1127" s="101"/>
      <c r="W1127" s="101"/>
      <c r="X1127" s="101"/>
      <c r="Y1127" s="101"/>
      <c r="Z1127" s="101"/>
      <c r="AA1127" s="101"/>
      <c r="AB1127" s="101"/>
      <c r="AC1127" s="101"/>
    </row>
    <row r="1128" ht="14.25" customHeight="1">
      <c r="A1128" s="99"/>
      <c r="B1128" s="101"/>
      <c r="C1128" s="101"/>
      <c r="D1128" s="101"/>
      <c r="E1128" s="101"/>
      <c r="F1128" s="101"/>
      <c r="G1128" s="101"/>
      <c r="H1128" s="101"/>
      <c r="I1128" s="101"/>
      <c r="J1128" s="101"/>
      <c r="K1128" s="101"/>
      <c r="L1128" s="101"/>
      <c r="M1128" s="101"/>
      <c r="N1128" s="101"/>
      <c r="O1128" s="101"/>
      <c r="P1128" s="101"/>
      <c r="Q1128" s="101"/>
      <c r="R1128" s="101"/>
      <c r="S1128" s="101"/>
      <c r="T1128" s="101"/>
      <c r="U1128" s="101"/>
      <c r="V1128" s="101"/>
      <c r="W1128" s="101"/>
      <c r="X1128" s="101"/>
      <c r="Y1128" s="101"/>
      <c r="Z1128" s="101"/>
      <c r="AA1128" s="101"/>
      <c r="AB1128" s="101"/>
      <c r="AC1128" s="101"/>
    </row>
    <row r="1129" ht="14.25" customHeight="1">
      <c r="A1129" s="99"/>
      <c r="B1129" s="101"/>
      <c r="C1129" s="101"/>
      <c r="D1129" s="101"/>
      <c r="E1129" s="101"/>
      <c r="F1129" s="101"/>
      <c r="G1129" s="101"/>
      <c r="H1129" s="101"/>
      <c r="I1129" s="101"/>
      <c r="J1129" s="101"/>
      <c r="K1129" s="101"/>
      <c r="L1129" s="101"/>
      <c r="M1129" s="101"/>
      <c r="N1129" s="101"/>
      <c r="O1129" s="101"/>
      <c r="P1129" s="101"/>
      <c r="Q1129" s="101"/>
      <c r="R1129" s="101"/>
      <c r="S1129" s="101"/>
      <c r="T1129" s="101"/>
      <c r="U1129" s="101"/>
      <c r="V1129" s="101"/>
      <c r="W1129" s="101"/>
      <c r="X1129" s="101"/>
      <c r="Y1129" s="101"/>
      <c r="Z1129" s="101"/>
      <c r="AA1129" s="101"/>
      <c r="AB1129" s="101"/>
      <c r="AC1129" s="101"/>
    </row>
    <row r="1130" ht="14.25" customHeight="1">
      <c r="A1130" s="99"/>
      <c r="B1130" s="101"/>
      <c r="C1130" s="101"/>
      <c r="D1130" s="101"/>
      <c r="E1130" s="101"/>
      <c r="F1130" s="101"/>
      <c r="G1130" s="101"/>
      <c r="H1130" s="101"/>
      <c r="I1130" s="101"/>
      <c r="J1130" s="101"/>
      <c r="K1130" s="101"/>
      <c r="L1130" s="101"/>
      <c r="M1130" s="101"/>
      <c r="N1130" s="101"/>
      <c r="O1130" s="101"/>
      <c r="P1130" s="101"/>
      <c r="Q1130" s="101"/>
      <c r="R1130" s="101"/>
      <c r="S1130" s="101"/>
      <c r="T1130" s="101"/>
      <c r="U1130" s="101"/>
      <c r="V1130" s="101"/>
      <c r="W1130" s="101"/>
      <c r="X1130" s="101"/>
      <c r="Y1130" s="101"/>
      <c r="Z1130" s="101"/>
      <c r="AA1130" s="101"/>
      <c r="AB1130" s="101"/>
      <c r="AC1130" s="101"/>
    </row>
    <row r="1131" ht="14.25" customHeight="1">
      <c r="A1131" s="99"/>
      <c r="B1131" s="101"/>
      <c r="C1131" s="101"/>
      <c r="D1131" s="101"/>
      <c r="E1131" s="101"/>
      <c r="F1131" s="101"/>
      <c r="G1131" s="101"/>
      <c r="H1131" s="101"/>
      <c r="I1131" s="101"/>
      <c r="J1131" s="101"/>
      <c r="K1131" s="101"/>
      <c r="L1131" s="101"/>
      <c r="M1131" s="101"/>
      <c r="N1131" s="101"/>
      <c r="O1131" s="101"/>
      <c r="P1131" s="101"/>
      <c r="Q1131" s="101"/>
      <c r="R1131" s="101"/>
      <c r="S1131" s="101"/>
      <c r="T1131" s="101"/>
      <c r="U1131" s="101"/>
      <c r="V1131" s="101"/>
      <c r="W1131" s="101"/>
      <c r="X1131" s="101"/>
      <c r="Y1131" s="101"/>
      <c r="Z1131" s="101"/>
      <c r="AA1131" s="101"/>
      <c r="AB1131" s="101"/>
      <c r="AC1131" s="101"/>
    </row>
    <row r="1132" ht="14.25" customHeight="1">
      <c r="A1132" s="99"/>
      <c r="B1132" s="101"/>
      <c r="C1132" s="101"/>
      <c r="D1132" s="101"/>
      <c r="E1132" s="101"/>
      <c r="F1132" s="101"/>
      <c r="G1132" s="101"/>
      <c r="H1132" s="101"/>
      <c r="I1132" s="101"/>
      <c r="J1132" s="101"/>
      <c r="K1132" s="101"/>
      <c r="L1132" s="101"/>
      <c r="M1132" s="101"/>
      <c r="N1132" s="101"/>
      <c r="O1132" s="101"/>
      <c r="P1132" s="101"/>
      <c r="Q1132" s="101"/>
      <c r="R1132" s="101"/>
      <c r="S1132" s="101"/>
      <c r="T1132" s="101"/>
      <c r="U1132" s="101"/>
      <c r="V1132" s="101"/>
      <c r="W1132" s="101"/>
      <c r="X1132" s="101"/>
      <c r="Y1132" s="101"/>
      <c r="Z1132" s="101"/>
      <c r="AA1132" s="101"/>
      <c r="AB1132" s="101"/>
      <c r="AC1132" s="101"/>
    </row>
    <row r="1133" ht="14.25" customHeight="1">
      <c r="A1133" s="99"/>
      <c r="B1133" s="101"/>
      <c r="C1133" s="101"/>
      <c r="D1133" s="101"/>
      <c r="E1133" s="101"/>
      <c r="F1133" s="101"/>
      <c r="G1133" s="101"/>
      <c r="H1133" s="101"/>
      <c r="I1133" s="101"/>
      <c r="J1133" s="101"/>
      <c r="K1133" s="101"/>
      <c r="L1133" s="101"/>
      <c r="M1133" s="101"/>
      <c r="N1133" s="101"/>
      <c r="O1133" s="101"/>
      <c r="P1133" s="101"/>
      <c r="Q1133" s="101"/>
      <c r="R1133" s="101"/>
      <c r="S1133" s="101"/>
      <c r="T1133" s="101"/>
      <c r="U1133" s="101"/>
      <c r="V1133" s="101"/>
      <c r="W1133" s="101"/>
      <c r="X1133" s="101"/>
      <c r="Y1133" s="101"/>
      <c r="Z1133" s="101"/>
      <c r="AA1133" s="101"/>
      <c r="AB1133" s="101"/>
      <c r="AC1133" s="101"/>
    </row>
    <row r="1134" ht="14.25" customHeight="1">
      <c r="A1134" s="99"/>
      <c r="B1134" s="101"/>
      <c r="C1134" s="101"/>
      <c r="D1134" s="101"/>
      <c r="E1134" s="101"/>
      <c r="F1134" s="101"/>
      <c r="G1134" s="101"/>
      <c r="H1134" s="101"/>
      <c r="I1134" s="101"/>
      <c r="J1134" s="101"/>
      <c r="K1134" s="101"/>
      <c r="L1134" s="101"/>
      <c r="M1134" s="101"/>
      <c r="N1134" s="101"/>
      <c r="O1134" s="101"/>
      <c r="P1134" s="101"/>
      <c r="Q1134" s="101"/>
      <c r="R1134" s="101"/>
      <c r="S1134" s="101"/>
      <c r="T1134" s="101"/>
      <c r="U1134" s="101"/>
      <c r="V1134" s="101"/>
      <c r="W1134" s="101"/>
      <c r="X1134" s="101"/>
      <c r="Y1134" s="101"/>
      <c r="Z1134" s="101"/>
      <c r="AA1134" s="101"/>
      <c r="AB1134" s="101"/>
      <c r="AC1134" s="101"/>
    </row>
    <row r="1135" ht="14.25" customHeight="1">
      <c r="A1135" s="99"/>
      <c r="B1135" s="101"/>
      <c r="C1135" s="101"/>
      <c r="D1135" s="101"/>
      <c r="E1135" s="101"/>
      <c r="F1135" s="101"/>
      <c r="G1135" s="101"/>
      <c r="H1135" s="101"/>
      <c r="I1135" s="101"/>
      <c r="J1135" s="101"/>
      <c r="K1135" s="101"/>
      <c r="L1135" s="101"/>
      <c r="M1135" s="101"/>
      <c r="N1135" s="101"/>
      <c r="O1135" s="101"/>
      <c r="P1135" s="101"/>
      <c r="Q1135" s="101"/>
      <c r="R1135" s="101"/>
      <c r="S1135" s="101"/>
      <c r="T1135" s="101"/>
      <c r="U1135" s="101"/>
      <c r="V1135" s="101"/>
      <c r="W1135" s="101"/>
      <c r="X1135" s="101"/>
      <c r="Y1135" s="101"/>
      <c r="Z1135" s="101"/>
      <c r="AA1135" s="101"/>
      <c r="AB1135" s="101"/>
      <c r="AC1135" s="101"/>
    </row>
    <row r="1136" ht="14.25" customHeight="1">
      <c r="A1136" s="99"/>
      <c r="B1136" s="101"/>
      <c r="C1136" s="101"/>
      <c r="D1136" s="101"/>
      <c r="E1136" s="101"/>
      <c r="F1136" s="101"/>
      <c r="G1136" s="101"/>
      <c r="H1136" s="101"/>
      <c r="I1136" s="101"/>
      <c r="J1136" s="101"/>
      <c r="K1136" s="101"/>
      <c r="L1136" s="101"/>
      <c r="M1136" s="101"/>
      <c r="N1136" s="101"/>
      <c r="O1136" s="101"/>
      <c r="P1136" s="101"/>
      <c r="Q1136" s="101"/>
      <c r="R1136" s="101"/>
      <c r="S1136" s="101"/>
      <c r="T1136" s="101"/>
      <c r="U1136" s="101"/>
      <c r="V1136" s="101"/>
      <c r="W1136" s="101"/>
      <c r="X1136" s="101"/>
      <c r="Y1136" s="101"/>
      <c r="Z1136" s="101"/>
      <c r="AA1136" s="101"/>
      <c r="AB1136" s="101"/>
      <c r="AC1136" s="101"/>
    </row>
    <row r="1137" ht="14.25" customHeight="1">
      <c r="A1137" s="99"/>
      <c r="B1137" s="101"/>
      <c r="C1137" s="101"/>
      <c r="D1137" s="101"/>
      <c r="E1137" s="101"/>
      <c r="F1137" s="101"/>
      <c r="G1137" s="101"/>
      <c r="H1137" s="101"/>
      <c r="I1137" s="101"/>
      <c r="J1137" s="101"/>
      <c r="K1137" s="101"/>
      <c r="L1137" s="101"/>
      <c r="M1137" s="101"/>
      <c r="N1137" s="101"/>
      <c r="O1137" s="101"/>
      <c r="P1137" s="101"/>
      <c r="Q1137" s="101"/>
      <c r="R1137" s="101"/>
      <c r="S1137" s="101"/>
      <c r="T1137" s="101"/>
      <c r="U1137" s="101"/>
      <c r="V1137" s="101"/>
      <c r="W1137" s="101"/>
      <c r="X1137" s="101"/>
      <c r="Y1137" s="101"/>
      <c r="Z1137" s="101"/>
      <c r="AA1137" s="101"/>
      <c r="AB1137" s="101"/>
      <c r="AC1137" s="101"/>
    </row>
  </sheetData>
  <autoFilter ref="$B$11:$K$296">
    <filterColumn colId="0">
      <filters blank="1">
        <filter val="SS-插座开关"/>
        <filter val="WDF-木地板"/>
        <filter val="GL-玻璃"/>
        <filter val="⭐PVC-塑胶地板&#10;FCS-金邦板"/>
        <filter val="GL-玻璃&#10;(Closed Cavity Facade封闭式双层幕墙）"/>
        <filter val="TER-水磨石&#10;PVC-塑胶地板"/>
        <filter val="MEP-机电"/>
        <filter val="HW-五金"/>
        <filter val="PL-防火板&#10;CL-抗倍特"/>
        <filter val="PST-维护系统"/>
        <filter val="~WDF-木地板"/>
        <filter val="~PT-涂料（可书写）"/>
        <filter val="GP-玻璃隔断"/>
        <filter val="~WDF（Sport）&#10;-木地板（含运动）"/>
        <filter val="⭐~FU-家具"/>
        <filter val="CPT-地毯"/>
        <filter val="RW-岩棉板&#10;ACP-吸音板"/>
        <filter val="FB-软包"/>
        <filter val="LT-灯具"/>
        <filter val="FU-家具"/>
        <filter val="GF-玻纤板&#10;MF-矿棉板&#10;ALU-铝复合板"/>
        <filter val="ALU-铝板"/>
        <filter val="GL-玻璃(树脂）"/>
        <filter val="PVC-塑胶地板"/>
        <filter val="✨HPL-木纤维板"/>
        <filter val="SP-钢板"/>
        <filter val="~GL-玻璃"/>
        <filter val="FLS-地坪系统&#10;-胶粘剂&#10;PT-涂料"/>
        <filter val="PVC-塑胶地板&#10;LVT-半硬质片材塑胶地板&#10;RBF-橡胶地板"/>
        <filter val="~HW-五金"/>
        <filter val="CCL-陶土&#10;ST-石材"/>
        <filter val="SW-洁具"/>
        <filter val="LVT-半硬质片材塑胶地板&#10;SPC-石塑地板"/>
        <filter val="PVC-塑胶地板（SPORT）"/>
        <filter val="PT-涂料"/>
        <filter val="~TL-瓷砖"/>
        <filter val="TFS-采光板"/>
        <filter val="~PVC-塑胶地板"/>
        <filter val="FLM-膜"/>
        <filter val="PC-墙板&#10;HR-扶手&#10;MT-金属"/>
        <filter val="CL-抗倍特"/>
        <filter val="BS-系统&#10;（结构系统、屋面系统、&#10;墙面系统）"/>
        <filter val="ST-石材"/>
        <filter val="MTP-金属板"/>
        <filter val="WP-壁纸"/>
        <filter val="SW-金属卫生间隔断"/>
        <filter val="CS-天花系统（空气净化）"/>
        <filter val="RES-树脂板"/>
        <filter val="CO-软木"/>
        <filter val="~WDS-门窗系统"/>
        <filter val="CPT-地毯&#10;LVT-半硬质片材塑胶地板"/>
        <filter val="PS-钢板"/>
        <filter val="~WDF-木地板&#10;~WV-木饰面板"/>
        <filter val="~FU-家具"/>
        <filter val="PT-涂料（可书写）"/>
        <filter val="BS-建筑系统"/>
        <filter val="WDF（Sport）-木地板（含运动）"/>
        <filter val="~PT-涂料"/>
        <filter val="MTP-金属板&#10;EFC-幕墙系统"/>
        <filter val="PC-墙板&#10;（PPS 强力结构7层插线板；&#10;LGP聚酯碳酸实心板；LUG U型中空锁扣板；LGC聚碳酸酯中空板）"/>
        <filter val="GB-石膏板"/>
        <filter val="~MT-金属（密封系统）"/>
        <filter val="PVC-塑胶地板（MULTI）&#10;CPT-地毯&#10;PVC-踢脚线"/>
        <filter val="PVC-塑胶地板&#10;CPT-地毯&#10;ACP-吸音板"/>
        <filter val="TL-瓷砖"/>
        <filter val="~SLM-水泥基自流平&#10;-胶粘剂"/>
        <filter val="RBF-橡胶地板"/>
        <filter val="~MT-金属"/>
        <filter val="CB-水泥板"/>
        <filter val="WDS-门窗系统"/>
        <filter val="PC-墙板"/>
        <filter val="EPO-环氧地板&#10;TER-水磨石&#10;SLM-水泥基自流平"/>
        <filter val="CR-陶瓷"/>
        <filter val="GRG-&#10;预铸式玻璃纤维加强石膏板&#10;GRC-玻璃纤维增强混凝土&#10;TL-瓷砖&#10;RM-特殊卷材"/>
        <filter val="PVC-塑胶地板（MULTI）"/>
        <filter val="LVT-半硬质片材塑胶地板"/>
        <filter val="MP-金属漆"/>
        <filter val="WDV-木皮"/>
        <filter val="⭐CB-水泥板"/>
        <filter val="RBF-橡胶地板（SPORT）"/>
        <filter val="GW-绿植"/>
        <filter val="~ACP-吸音板&#10;FB-软包&#10;GB-石膏板 &#10;GF-玻纤板 &#10;MF-矿棉板 &#10;ALU-铝复合板"/>
        <filter val="ACP-吸音板"/>
        <filter val="AP-人造板材"/>
        <filter val="SW-洁具&#10;FU-家具"/>
        <filter val="CO-人造石"/>
        <filter val="CPT-地毯&#10;LVT-半硬质片材塑胶地板&#10;CF-陶瓷岩板"/>
        <filter val="陶板/陶管/陶砖"/>
        <filter val="PTS-隔断系统"/>
        <filter val="CO-人造石&#10;ST-石材"/>
        <filter val="IB-保温板"/>
        <filter val="EFC-幕墙系统"/>
        <filter val="~MTP-金属板"/>
        <filter val="MT-金属"/>
        <filter val="SLM-水泥基自流平"/>
        <filter val="~LT-灯具"/>
        <filter val="GB-石膏板&#10;GF-玻纤板&#10;MF-矿棉板"/>
        <filter val="~PTS-隔断系统"/>
        <filter val="MTP-金属板&#10;水泥板"/>
        <filter val="ALS-铝合金系统&#10;(门系统；推拉系统；窗系统）"/>
        <filter val="⭐PT-涂料"/>
        <filter val="CPT-地毯&#10;PVC-塑胶地板（SPORT）"/>
        <filter val="CS-天花系统"/>
        <filter val="~RBF-橡胶地板"/>
      </filters>
    </filterColumn>
    <sortState ref="B11:K296">
      <sortCondition descending="1" sortBy="cellColor" ref="B11:B296" dxfId="1"/>
      <sortCondition ref="C11:C296"/>
      <sortCondition descending="1" ref="D11:D296"/>
    </sortState>
  </autoFilter>
  <mergeCells count="3">
    <mergeCell ref="B2:E4"/>
    <mergeCell ref="B5:E6"/>
    <mergeCell ref="B8:P9"/>
  </mergeCells>
  <conditionalFormatting sqref="I7 B8:G9 J8:L9 H9:I9">
    <cfRule type="notContainsBlanks" dxfId="2" priority="1">
      <formula>LEN(TRIM(I7))&gt;0</formula>
    </cfRule>
  </conditionalFormatting>
  <hyperlinks>
    <hyperlink r:id="rId1" ref="E20"/>
    <hyperlink r:id="rId2" ref="E45"/>
    <hyperlink r:id="rId3" ref="E61"/>
    <hyperlink r:id="rId4" ref="E76"/>
    <hyperlink r:id="rId5" ref="E78"/>
    <hyperlink r:id="rId6" ref="E91"/>
    <hyperlink r:id="rId7" ref="E93"/>
    <hyperlink r:id="rId8" ref="E96"/>
    <hyperlink r:id="rId9" ref="E105"/>
    <hyperlink r:id="rId10" ref="E121"/>
    <hyperlink r:id="rId11" ref="E122"/>
    <hyperlink r:id="rId12" ref="E123"/>
    <hyperlink r:id="rId13" ref="E168"/>
  </hyperlinks>
  <printOptions/>
  <pageMargins bottom="0.7480314960629921" footer="0.0" header="0.0" left="0.7086614173228347" right="0.7086614173228347" top="0.7480314960629921"/>
  <pageSetup fitToHeight="0" paperSize="9" orientation="portrait"/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9.44"/>
  </cols>
  <sheetData>
    <row r="1">
      <c r="A1" s="170" t="s">
        <v>1558</v>
      </c>
    </row>
    <row r="2">
      <c r="A2" s="170" t="s">
        <v>955</v>
      </c>
    </row>
    <row r="3">
      <c r="A3" s="166" t="s">
        <v>1559</v>
      </c>
    </row>
    <row r="4">
      <c r="A4" s="166" t="s">
        <v>611</v>
      </c>
    </row>
    <row r="5">
      <c r="A5" s="166" t="s">
        <v>1059</v>
      </c>
    </row>
    <row r="6">
      <c r="A6" s="166" t="s">
        <v>1224</v>
      </c>
    </row>
    <row r="7">
      <c r="A7" s="166" t="s">
        <v>1560</v>
      </c>
    </row>
    <row r="8">
      <c r="A8" s="166" t="s">
        <v>1213</v>
      </c>
    </row>
    <row r="9">
      <c r="A9" s="166" t="s">
        <v>1561</v>
      </c>
    </row>
    <row r="10">
      <c r="A10" s="166" t="s">
        <v>1562</v>
      </c>
    </row>
    <row r="11">
      <c r="A11" s="166" t="s">
        <v>1563</v>
      </c>
    </row>
    <row r="12">
      <c r="A12" s="166" t="s">
        <v>1231</v>
      </c>
    </row>
    <row r="13">
      <c r="A13" s="166" t="s">
        <v>800</v>
      </c>
    </row>
    <row r="14">
      <c r="A14" s="166" t="s">
        <v>599</v>
      </c>
    </row>
    <row r="15">
      <c r="A15" s="166" t="s">
        <v>1564</v>
      </c>
    </row>
    <row r="16">
      <c r="A16" s="166" t="s">
        <v>1565</v>
      </c>
    </row>
    <row r="17">
      <c r="A17" s="166" t="s">
        <v>673</v>
      </c>
    </row>
    <row r="18">
      <c r="A18" s="166" t="s">
        <v>1566</v>
      </c>
    </row>
    <row r="19">
      <c r="A19" s="166" t="s">
        <v>1567</v>
      </c>
    </row>
    <row r="20">
      <c r="A20" s="166" t="s">
        <v>1568</v>
      </c>
    </row>
    <row r="21">
      <c r="A21" s="166" t="s">
        <v>1569</v>
      </c>
    </row>
    <row r="22">
      <c r="A22" s="166" t="s">
        <v>1118</v>
      </c>
    </row>
    <row r="23">
      <c r="A23" s="166" t="s">
        <v>1156</v>
      </c>
    </row>
    <row r="24">
      <c r="A24" s="166" t="s">
        <v>588</v>
      </c>
    </row>
    <row r="25">
      <c r="A25" s="166" t="s">
        <v>1319</v>
      </c>
    </row>
    <row r="26">
      <c r="A26" s="166" t="s">
        <v>914</v>
      </c>
    </row>
    <row r="27">
      <c r="A27" s="166" t="s">
        <v>1570</v>
      </c>
    </row>
    <row r="28">
      <c r="A28" s="166" t="s">
        <v>1571</v>
      </c>
    </row>
    <row r="29">
      <c r="A29" s="166" t="s">
        <v>1572</v>
      </c>
    </row>
    <row r="30">
      <c r="A30" s="166" t="s">
        <v>592</v>
      </c>
    </row>
    <row r="31">
      <c r="A31" s="166" t="s">
        <v>1542</v>
      </c>
    </row>
    <row r="32">
      <c r="A32" s="166" t="s">
        <v>1573</v>
      </c>
    </row>
    <row r="33">
      <c r="A33" s="166" t="s">
        <v>1574</v>
      </c>
    </row>
    <row r="34">
      <c r="A34" s="166" t="s">
        <v>720</v>
      </c>
    </row>
    <row r="35">
      <c r="A35" s="166" t="s">
        <v>1144</v>
      </c>
    </row>
    <row r="36">
      <c r="A36" s="166" t="s">
        <v>999</v>
      </c>
    </row>
    <row r="37">
      <c r="A37" s="166" t="s">
        <v>1396</v>
      </c>
    </row>
    <row r="38">
      <c r="A38" s="166" t="s">
        <v>1575</v>
      </c>
    </row>
    <row r="39">
      <c r="A39" s="166" t="s">
        <v>1576</v>
      </c>
    </row>
    <row r="40">
      <c r="A40" s="166" t="s">
        <v>1577</v>
      </c>
    </row>
    <row r="41">
      <c r="A41" s="166" t="s">
        <v>1578</v>
      </c>
    </row>
    <row r="42">
      <c r="A42" s="166" t="s">
        <v>1579</v>
      </c>
    </row>
    <row r="43">
      <c r="A43" s="166" t="s">
        <v>645</v>
      </c>
    </row>
    <row r="44">
      <c r="A44" s="166" t="s">
        <v>1580</v>
      </c>
    </row>
    <row r="45">
      <c r="A45" s="166" t="s">
        <v>1581</v>
      </c>
    </row>
    <row r="46">
      <c r="A46" s="166" t="s">
        <v>1010</v>
      </c>
    </row>
    <row r="47">
      <c r="A47" s="166" t="s">
        <v>1582</v>
      </c>
    </row>
    <row r="48">
      <c r="A48" s="166" t="s">
        <v>1583</v>
      </c>
    </row>
    <row r="49">
      <c r="A49" s="166" t="s">
        <v>1584</v>
      </c>
    </row>
    <row r="50">
      <c r="A50" s="166" t="s">
        <v>1041</v>
      </c>
    </row>
    <row r="51">
      <c r="A51" s="166" t="s">
        <v>1512</v>
      </c>
    </row>
    <row r="52">
      <c r="A52" s="166" t="s">
        <v>977</v>
      </c>
    </row>
    <row r="53">
      <c r="A53" s="166" t="s">
        <v>959</v>
      </c>
    </row>
    <row r="54">
      <c r="A54" s="166" t="s">
        <v>1585</v>
      </c>
    </row>
    <row r="55">
      <c r="A55" s="27" t="s">
        <v>607</v>
      </c>
    </row>
    <row r="56">
      <c r="A56" s="69" t="s">
        <v>623</v>
      </c>
    </row>
    <row r="57">
      <c r="A57" s="27" t="s">
        <v>579</v>
      </c>
    </row>
    <row r="58">
      <c r="A58" s="27" t="s">
        <v>1067</v>
      </c>
    </row>
    <row r="59" ht="14.25" customHeight="1">
      <c r="A59" s="27" t="s">
        <v>1586</v>
      </c>
    </row>
    <row r="60">
      <c r="A60" s="171" t="s">
        <v>1587</v>
      </c>
    </row>
    <row r="61">
      <c r="A61" s="27" t="s">
        <v>760</v>
      </c>
    </row>
    <row r="62">
      <c r="A62" s="27" t="s">
        <v>638</v>
      </c>
    </row>
    <row r="63">
      <c r="A63" s="27" t="s">
        <v>894</v>
      </c>
    </row>
    <row r="64">
      <c r="A64" s="27" t="s">
        <v>1588</v>
      </c>
    </row>
    <row r="65">
      <c r="A65" s="27" t="s">
        <v>1589</v>
      </c>
    </row>
    <row r="66">
      <c r="A66" s="27" t="s">
        <v>1590</v>
      </c>
    </row>
    <row r="67">
      <c r="A67" s="27" t="s">
        <v>1591</v>
      </c>
    </row>
    <row r="68">
      <c r="A68" s="27" t="s">
        <v>616</v>
      </c>
    </row>
    <row r="69">
      <c r="A69" s="27" t="s">
        <v>680</v>
      </c>
    </row>
  </sheetData>
  <autoFilter ref="$A$1:$A$69">
    <sortState ref="A1:A69">
      <sortCondition ref="A1:A69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11"/>
    <col customWidth="1" min="3" max="3" width="40.0"/>
  </cols>
  <sheetData>
    <row r="1">
      <c r="A1" s="172"/>
      <c r="B1" s="172" t="s">
        <v>1592</v>
      </c>
      <c r="C1" s="172" t="s">
        <v>1593</v>
      </c>
      <c r="D1" s="173"/>
    </row>
    <row r="2">
      <c r="A2" s="172"/>
      <c r="B2" s="172" t="s">
        <v>1594</v>
      </c>
      <c r="C2" s="172" t="s">
        <v>1595</v>
      </c>
      <c r="D2" s="173"/>
    </row>
    <row r="3">
      <c r="A3" s="27">
        <v>1.0</v>
      </c>
      <c r="B3" s="174" t="s">
        <v>1596</v>
      </c>
      <c r="C3" s="27" t="s">
        <v>1597</v>
      </c>
    </row>
    <row r="4">
      <c r="A4" s="27">
        <v>2.0</v>
      </c>
      <c r="B4" s="174" t="s">
        <v>1598</v>
      </c>
      <c r="C4" s="174" t="s">
        <v>1599</v>
      </c>
    </row>
    <row r="5">
      <c r="A5" s="27">
        <v>3.0</v>
      </c>
      <c r="B5" s="174" t="s">
        <v>1600</v>
      </c>
      <c r="C5" s="174" t="s">
        <v>1601</v>
      </c>
    </row>
    <row r="6">
      <c r="A6" s="27">
        <v>4.0</v>
      </c>
      <c r="B6" s="174" t="s">
        <v>1602</v>
      </c>
      <c r="C6" s="174" t="s">
        <v>1603</v>
      </c>
    </row>
    <row r="7">
      <c r="A7" s="27">
        <v>5.0</v>
      </c>
      <c r="B7" s="174" t="s">
        <v>1604</v>
      </c>
      <c r="C7" s="174" t="s">
        <v>1605</v>
      </c>
    </row>
    <row r="8">
      <c r="A8" s="27">
        <v>6.0</v>
      </c>
      <c r="B8" s="174" t="s">
        <v>1606</v>
      </c>
      <c r="C8" s="174" t="s">
        <v>1607</v>
      </c>
    </row>
    <row r="9">
      <c r="A9" s="27">
        <v>7.0</v>
      </c>
      <c r="B9" s="27" t="s">
        <v>1608</v>
      </c>
      <c r="C9" s="27" t="s">
        <v>1609</v>
      </c>
    </row>
    <row r="10">
      <c r="A10" s="27">
        <v>8.0</v>
      </c>
      <c r="B10" s="27" t="s">
        <v>1610</v>
      </c>
      <c r="C10" s="27" t="s">
        <v>1611</v>
      </c>
    </row>
    <row r="11">
      <c r="A11" s="27">
        <v>9.0</v>
      </c>
      <c r="B11" s="27" t="s">
        <v>1612</v>
      </c>
      <c r="C11" s="27" t="s">
        <v>1613</v>
      </c>
    </row>
    <row r="12">
      <c r="A12" s="27">
        <v>10.0</v>
      </c>
      <c r="B12" s="27" t="s">
        <v>1614</v>
      </c>
      <c r="C12" s="27" t="s">
        <v>1615</v>
      </c>
    </row>
    <row r="13">
      <c r="A13" s="27">
        <v>11.0</v>
      </c>
      <c r="B13" s="27" t="s">
        <v>1616</v>
      </c>
      <c r="C13" s="27" t="s">
        <v>1617</v>
      </c>
    </row>
    <row r="14">
      <c r="A14" s="27">
        <v>12.0</v>
      </c>
      <c r="B14" s="27" t="s">
        <v>1618</v>
      </c>
      <c r="C14" s="27" t="s">
        <v>1619</v>
      </c>
    </row>
    <row r="15">
      <c r="A15" s="27">
        <v>13.0</v>
      </c>
      <c r="B15" s="27" t="s">
        <v>1620</v>
      </c>
      <c r="C15" s="27" t="s">
        <v>1621</v>
      </c>
    </row>
    <row r="16">
      <c r="A16" s="27">
        <v>14.0</v>
      </c>
      <c r="B16" s="27" t="s">
        <v>1622</v>
      </c>
      <c r="C16" s="27" t="s">
        <v>1623</v>
      </c>
    </row>
    <row r="17">
      <c r="A17" s="27">
        <v>15.0</v>
      </c>
      <c r="B17" s="27" t="s">
        <v>1624</v>
      </c>
      <c r="C17" s="27" t="s">
        <v>1625</v>
      </c>
    </row>
    <row r="18">
      <c r="A18" s="27">
        <v>16.0</v>
      </c>
      <c r="B18" s="27" t="s">
        <v>1626</v>
      </c>
      <c r="C18" s="27" t="s">
        <v>1627</v>
      </c>
    </row>
    <row r="19">
      <c r="A19" s="27">
        <v>17.0</v>
      </c>
      <c r="B19" s="27" t="s">
        <v>1628</v>
      </c>
      <c r="C19" s="27" t="s">
        <v>1629</v>
      </c>
    </row>
    <row r="20">
      <c r="A20" s="27">
        <v>18.0</v>
      </c>
      <c r="B20" s="27" t="s">
        <v>1630</v>
      </c>
      <c r="C20" s="27" t="s">
        <v>1631</v>
      </c>
    </row>
    <row r="21">
      <c r="A21" s="27">
        <v>19.0</v>
      </c>
      <c r="B21" s="27" t="s">
        <v>1632</v>
      </c>
      <c r="C21" s="27" t="s">
        <v>1633</v>
      </c>
    </row>
    <row r="22">
      <c r="A22" s="27">
        <v>20.0</v>
      </c>
      <c r="B22" s="27" t="s">
        <v>1634</v>
      </c>
      <c r="C22" s="27" t="s">
        <v>1635</v>
      </c>
    </row>
    <row r="23">
      <c r="A23" s="27">
        <v>21.0</v>
      </c>
      <c r="B23" s="27" t="s">
        <v>1636</v>
      </c>
      <c r="C23" s="27" t="s">
        <v>1637</v>
      </c>
    </row>
    <row r="24">
      <c r="A24" s="27">
        <v>22.0</v>
      </c>
      <c r="B24" s="27" t="s">
        <v>1638</v>
      </c>
      <c r="C24" s="27" t="s">
        <v>1639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8.33"/>
    <col customWidth="1" min="2" max="2" width="34.0"/>
    <col customWidth="1" min="3" max="3" width="32.44"/>
    <col customWidth="1" min="4" max="4" width="35.78"/>
    <col customWidth="1" min="5" max="5" width="19.33"/>
    <col customWidth="1" min="6" max="26" width="8.33"/>
  </cols>
  <sheetData>
    <row r="1" ht="15.75" customHeight="1">
      <c r="A1" s="175" t="s">
        <v>1640</v>
      </c>
      <c r="B1" s="175" t="s">
        <v>1641</v>
      </c>
      <c r="C1" s="176" t="s">
        <v>1642</v>
      </c>
      <c r="D1" s="175" t="s">
        <v>1643</v>
      </c>
      <c r="E1" s="177"/>
    </row>
    <row r="2" ht="15.75" customHeight="1">
      <c r="A2" s="178" t="s">
        <v>1644</v>
      </c>
      <c r="B2" s="179">
        <v>8.0</v>
      </c>
      <c r="C2" s="179">
        <v>12.0</v>
      </c>
      <c r="D2" s="179" t="s">
        <v>1645</v>
      </c>
    </row>
    <row r="3" ht="15.75" customHeight="1">
      <c r="A3" s="178" t="s">
        <v>1646</v>
      </c>
      <c r="B3" s="179">
        <v>4.0</v>
      </c>
      <c r="C3" s="179">
        <v>6.0</v>
      </c>
      <c r="D3" s="180" t="s">
        <v>1647</v>
      </c>
    </row>
    <row r="4" ht="15.75" customHeight="1">
      <c r="A4" s="178" t="s">
        <v>1648</v>
      </c>
      <c r="B4" s="179">
        <v>5.0</v>
      </c>
      <c r="C4" s="179">
        <v>6.0</v>
      </c>
      <c r="D4" s="179"/>
    </row>
    <row r="5" ht="15.75" customHeight="1">
      <c r="A5" s="178" t="s">
        <v>1649</v>
      </c>
      <c r="B5" s="180">
        <v>1.0</v>
      </c>
      <c r="C5" s="180">
        <v>2.0</v>
      </c>
      <c r="D5" s="180"/>
    </row>
    <row r="6" ht="15.75" customHeight="1">
      <c r="A6" s="178" t="s">
        <v>1650</v>
      </c>
      <c r="B6" s="179">
        <v>1.0</v>
      </c>
      <c r="C6" s="180">
        <v>2.0</v>
      </c>
      <c r="D6" s="179"/>
    </row>
    <row r="7" ht="15.75" customHeight="1">
      <c r="A7" s="178" t="s">
        <v>1651</v>
      </c>
      <c r="B7" s="179">
        <v>2.0</v>
      </c>
      <c r="C7" s="180">
        <v>3.0</v>
      </c>
      <c r="D7" s="179"/>
    </row>
    <row r="8" ht="15.75" customHeight="1">
      <c r="A8" s="178" t="s">
        <v>1652</v>
      </c>
      <c r="B8" s="179">
        <v>3.0</v>
      </c>
      <c r="C8" s="179">
        <v>4.0</v>
      </c>
      <c r="D8" s="179" t="s">
        <v>1653</v>
      </c>
    </row>
    <row r="9" ht="15.75" customHeight="1">
      <c r="A9" s="178" t="s">
        <v>1654</v>
      </c>
      <c r="B9" s="180">
        <v>1.0</v>
      </c>
      <c r="C9" s="180">
        <v>2.0</v>
      </c>
      <c r="D9" s="180"/>
    </row>
    <row r="10" ht="15.75" customHeight="1">
      <c r="A10" s="178" t="s">
        <v>1655</v>
      </c>
      <c r="B10" s="179">
        <v>1.0</v>
      </c>
      <c r="C10" s="180">
        <v>2.0</v>
      </c>
      <c r="D10" s="179"/>
    </row>
    <row r="11" ht="15.75" customHeight="1">
      <c r="A11" s="178" t="s">
        <v>1656</v>
      </c>
      <c r="B11" s="180">
        <v>2.0</v>
      </c>
      <c r="C11" s="180">
        <v>4.0</v>
      </c>
      <c r="D11" s="179" t="s">
        <v>1657</v>
      </c>
    </row>
    <row r="12" ht="15.75" customHeight="1">
      <c r="A12" s="178" t="s">
        <v>1658</v>
      </c>
      <c r="B12" s="179">
        <v>1.0</v>
      </c>
      <c r="C12" s="180">
        <v>2.0</v>
      </c>
      <c r="D12" s="179"/>
    </row>
    <row r="13" ht="15.75" customHeight="1">
      <c r="A13" s="178" t="s">
        <v>1659</v>
      </c>
      <c r="B13" s="179">
        <v>1.0</v>
      </c>
      <c r="C13" s="180">
        <v>2.0</v>
      </c>
      <c r="D13" s="179"/>
    </row>
    <row r="14" ht="15.75" customHeight="1">
      <c r="A14" s="178" t="s">
        <v>1660</v>
      </c>
      <c r="B14" s="179">
        <v>1.0</v>
      </c>
      <c r="C14" s="180">
        <v>2.0</v>
      </c>
      <c r="D14" s="180"/>
    </row>
    <row r="15" ht="15.75" customHeight="1">
      <c r="A15" s="178" t="s">
        <v>1661</v>
      </c>
      <c r="B15" s="179">
        <v>1.0</v>
      </c>
      <c r="C15" s="181">
        <v>2.0</v>
      </c>
      <c r="D15" s="179"/>
    </row>
    <row r="16" ht="15.75" customHeight="1">
      <c r="A16" s="178" t="s">
        <v>1662</v>
      </c>
      <c r="B16" s="179">
        <v>1.0</v>
      </c>
      <c r="C16" s="181">
        <v>2.0</v>
      </c>
      <c r="D16" s="179"/>
    </row>
    <row r="17" ht="15.75" customHeight="1">
      <c r="A17" s="182" t="s">
        <v>1663</v>
      </c>
      <c r="B17" s="181">
        <v>1.0</v>
      </c>
      <c r="C17" s="181">
        <v>2.0</v>
      </c>
      <c r="D17" s="183"/>
    </row>
    <row r="18" ht="15.75" customHeight="1">
      <c r="A18" s="184" t="s">
        <v>1664</v>
      </c>
      <c r="B18" s="180">
        <v>1.0</v>
      </c>
      <c r="C18" s="181">
        <v>2.0</v>
      </c>
      <c r="D18" s="183"/>
    </row>
    <row r="19" ht="15.75" customHeight="1">
      <c r="A19" s="184" t="s">
        <v>1665</v>
      </c>
      <c r="B19" s="180">
        <v>1.0</v>
      </c>
      <c r="C19" s="181">
        <v>2.0</v>
      </c>
      <c r="D19" s="180" t="s">
        <v>1666</v>
      </c>
    </row>
    <row r="20" ht="15.75" customHeight="1">
      <c r="A20" s="182" t="s">
        <v>1667</v>
      </c>
      <c r="B20" s="181">
        <v>1.0</v>
      </c>
      <c r="C20" s="181">
        <v>2.0</v>
      </c>
      <c r="D20" s="183"/>
    </row>
    <row r="21" ht="15.75" customHeight="1">
      <c r="A21" s="182" t="s">
        <v>1668</v>
      </c>
      <c r="B21" s="181">
        <v>1.0</v>
      </c>
      <c r="C21" s="181">
        <v>2.0</v>
      </c>
      <c r="D21" s="183"/>
    </row>
    <row r="22" ht="15.75" customHeight="1">
      <c r="A22" s="182" t="s">
        <v>1669</v>
      </c>
      <c r="B22" s="181">
        <v>1.0</v>
      </c>
      <c r="C22" s="181">
        <v>2.0</v>
      </c>
      <c r="D22" s="183"/>
    </row>
    <row r="23" ht="15.75" customHeight="1">
      <c r="A23" s="182" t="s">
        <v>1670</v>
      </c>
      <c r="B23" s="181">
        <v>1.0</v>
      </c>
      <c r="C23" s="181">
        <v>2.0</v>
      </c>
      <c r="D23" s="183"/>
    </row>
    <row r="24" ht="15.75" customHeight="1">
      <c r="A24" s="183"/>
      <c r="B24" s="183"/>
      <c r="C24" s="183"/>
      <c r="D24" s="183"/>
    </row>
    <row r="25" ht="15.75" customHeight="1">
      <c r="A25" s="185"/>
      <c r="B25" s="183"/>
      <c r="C25" s="183"/>
      <c r="D25" s="183"/>
    </row>
    <row r="26" ht="15.75" customHeight="1">
      <c r="A26" s="186" t="s">
        <v>1671</v>
      </c>
      <c r="B26" s="183"/>
      <c r="C26" s="183"/>
      <c r="D26" s="183"/>
    </row>
    <row r="27" ht="15.75" customHeight="1">
      <c r="A27" s="181" t="s">
        <v>1672</v>
      </c>
      <c r="B27" s="181">
        <v>4.0</v>
      </c>
      <c r="C27" s="181">
        <v>6.0</v>
      </c>
      <c r="D27" s="183"/>
    </row>
    <row r="28" ht="15.75" customHeight="1">
      <c r="A28" s="181" t="s">
        <v>1673</v>
      </c>
      <c r="B28" s="181">
        <v>1.0</v>
      </c>
      <c r="C28" s="181">
        <v>2.0</v>
      </c>
      <c r="D28" s="183"/>
    </row>
    <row r="29" ht="15.75" customHeight="1">
      <c r="A29" s="181" t="s">
        <v>1674</v>
      </c>
      <c r="B29" s="181">
        <v>1.0</v>
      </c>
      <c r="C29" s="181">
        <v>2.0</v>
      </c>
      <c r="D29" s="183"/>
    </row>
    <row r="30" ht="15.75" customHeight="1">
      <c r="A30" s="187" t="s">
        <v>1675</v>
      </c>
      <c r="B30" s="183"/>
      <c r="C30" s="183"/>
      <c r="D30" s="183"/>
    </row>
    <row r="31" ht="15.75" customHeight="1">
      <c r="A31" s="183"/>
      <c r="B31" s="183"/>
      <c r="C31" s="183"/>
      <c r="D31" s="183"/>
    </row>
    <row r="32" ht="15.75" customHeight="1">
      <c r="A32" s="183"/>
      <c r="B32" s="183"/>
      <c r="C32" s="183"/>
      <c r="D32" s="183"/>
    </row>
    <row r="33" ht="15.75" customHeight="1">
      <c r="A33" s="183"/>
      <c r="B33" s="183"/>
      <c r="C33" s="183"/>
      <c r="D33" s="183"/>
    </row>
    <row r="34" ht="15.75" customHeight="1">
      <c r="A34" s="183"/>
      <c r="B34" s="183"/>
      <c r="C34" s="183"/>
      <c r="D34" s="183"/>
    </row>
    <row r="35" ht="15.75" customHeight="1">
      <c r="A35" s="183"/>
      <c r="B35" s="183"/>
      <c r="C35" s="183"/>
      <c r="D35" s="183"/>
    </row>
    <row r="36" ht="15.75" customHeight="1">
      <c r="A36" s="183"/>
      <c r="B36" s="183"/>
      <c r="C36" s="183"/>
      <c r="D36" s="183"/>
    </row>
    <row r="37" ht="15.75" customHeight="1">
      <c r="A37" s="183"/>
      <c r="B37" s="183"/>
      <c r="C37" s="183"/>
      <c r="D37" s="183"/>
    </row>
    <row r="38" ht="15.75" customHeight="1">
      <c r="A38" s="183"/>
      <c r="B38" s="183"/>
      <c r="C38" s="183"/>
      <c r="D38" s="183"/>
    </row>
    <row r="39" ht="15.75" customHeight="1">
      <c r="A39" s="183"/>
      <c r="B39" s="183"/>
      <c r="C39" s="183"/>
      <c r="D39" s="183"/>
    </row>
    <row r="40" ht="15.75" customHeight="1">
      <c r="A40" s="183"/>
      <c r="B40" s="183"/>
      <c r="C40" s="183"/>
      <c r="D40" s="183"/>
    </row>
    <row r="41" ht="15.75" customHeight="1">
      <c r="A41" s="183"/>
      <c r="B41" s="183"/>
      <c r="C41" s="183"/>
      <c r="D41" s="183"/>
    </row>
    <row r="42" ht="15.75" customHeight="1">
      <c r="A42" s="183"/>
      <c r="B42" s="183"/>
      <c r="C42" s="183"/>
      <c r="D42" s="183"/>
    </row>
    <row r="43" ht="15.75" customHeight="1">
      <c r="A43" s="183"/>
      <c r="B43" s="183"/>
      <c r="C43" s="183"/>
      <c r="D43" s="183"/>
    </row>
    <row r="44" ht="15.75" customHeight="1">
      <c r="A44" s="183"/>
      <c r="B44" s="183"/>
      <c r="C44" s="183"/>
      <c r="D44" s="183"/>
    </row>
    <row r="45" ht="15.75" customHeight="1">
      <c r="A45" s="183"/>
      <c r="B45" s="183"/>
      <c r="C45" s="183"/>
      <c r="D45" s="183"/>
    </row>
    <row r="46" ht="15.75" customHeight="1">
      <c r="A46" s="183"/>
      <c r="B46" s="183"/>
      <c r="C46" s="183"/>
      <c r="D46" s="183"/>
    </row>
    <row r="47" ht="15.75" customHeight="1">
      <c r="A47" s="183"/>
      <c r="B47" s="183"/>
      <c r="C47" s="183"/>
      <c r="D47" s="183"/>
    </row>
    <row r="48" ht="15.75" customHeight="1">
      <c r="A48" s="183"/>
      <c r="B48" s="183"/>
      <c r="C48" s="183"/>
      <c r="D48" s="183"/>
    </row>
    <row r="49" ht="15.75" customHeight="1">
      <c r="A49" s="183"/>
      <c r="B49" s="183"/>
      <c r="C49" s="183"/>
      <c r="D49" s="183"/>
    </row>
    <row r="50" ht="15.75" customHeight="1">
      <c r="A50" s="183"/>
      <c r="B50" s="183"/>
      <c r="C50" s="183"/>
      <c r="D50" s="183"/>
    </row>
    <row r="51" ht="15.75" customHeight="1">
      <c r="A51" s="183"/>
      <c r="B51" s="183"/>
      <c r="C51" s="183"/>
      <c r="D51" s="183"/>
    </row>
    <row r="52" ht="15.75" customHeight="1">
      <c r="A52" s="183"/>
      <c r="B52" s="183"/>
      <c r="C52" s="183"/>
      <c r="D52" s="18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2.78"/>
    <col customWidth="1" min="2" max="2" width="16.44"/>
    <col customWidth="1" min="4" max="4" width="36.78"/>
    <col customWidth="1" min="5" max="5" width="18.11"/>
    <col customWidth="1" min="7" max="7" width="21.11"/>
    <col customWidth="1" min="8" max="8" width="14.67"/>
  </cols>
  <sheetData>
    <row r="1">
      <c r="A1" s="188" t="s">
        <v>1676</v>
      </c>
      <c r="B1" s="188" t="s">
        <v>1677</v>
      </c>
      <c r="C1" s="188" t="s">
        <v>1678</v>
      </c>
      <c r="D1" s="188" t="s">
        <v>1679</v>
      </c>
      <c r="E1" s="188" t="s">
        <v>1680</v>
      </c>
      <c r="F1" s="188" t="s">
        <v>1681</v>
      </c>
      <c r="G1" s="188" t="s">
        <v>1682</v>
      </c>
      <c r="H1" s="188" t="s">
        <v>1683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</row>
    <row r="2">
      <c r="A2" s="190" t="s">
        <v>7</v>
      </c>
      <c r="B2" s="191" t="s">
        <v>126</v>
      </c>
      <c r="C2" s="192" t="s">
        <v>213</v>
      </c>
      <c r="D2" s="28" t="s">
        <v>211</v>
      </c>
      <c r="E2" s="192" t="s">
        <v>214</v>
      </c>
      <c r="F2" s="193">
        <v>1081.8</v>
      </c>
      <c r="G2" s="192" t="s">
        <v>122</v>
      </c>
      <c r="H2" s="192" t="s">
        <v>123</v>
      </c>
    </row>
    <row r="3">
      <c r="A3" s="16" t="s">
        <v>9</v>
      </c>
      <c r="B3" s="191" t="s">
        <v>126</v>
      </c>
      <c r="C3" s="192" t="s">
        <v>213</v>
      </c>
      <c r="D3" s="28" t="s">
        <v>211</v>
      </c>
      <c r="E3" s="192" t="s">
        <v>219</v>
      </c>
      <c r="F3" s="193">
        <v>440.0</v>
      </c>
      <c r="G3" s="192" t="s">
        <v>122</v>
      </c>
      <c r="H3" s="192" t="s">
        <v>123</v>
      </c>
    </row>
    <row r="4">
      <c r="A4" s="16" t="s">
        <v>41</v>
      </c>
      <c r="B4" s="192" t="s">
        <v>126</v>
      </c>
      <c r="C4" s="192" t="s">
        <v>223</v>
      </c>
      <c r="D4" s="28" t="s">
        <v>221</v>
      </c>
      <c r="E4" s="192" t="s">
        <v>219</v>
      </c>
      <c r="F4" s="193">
        <v>20627.0</v>
      </c>
      <c r="G4" s="192" t="s">
        <v>132</v>
      </c>
      <c r="H4" s="192" t="s">
        <v>123</v>
      </c>
    </row>
    <row r="5">
      <c r="A5" s="16" t="s">
        <v>49</v>
      </c>
      <c r="B5" s="192" t="s">
        <v>135</v>
      </c>
      <c r="C5" s="192" t="s">
        <v>223</v>
      </c>
      <c r="D5" s="28" t="s">
        <v>225</v>
      </c>
      <c r="E5" s="192" t="s">
        <v>214</v>
      </c>
      <c r="F5" s="193">
        <v>95620.0</v>
      </c>
      <c r="G5" s="192" t="s">
        <v>132</v>
      </c>
      <c r="H5" s="192" t="s">
        <v>128</v>
      </c>
    </row>
    <row r="6">
      <c r="A6" s="16" t="s">
        <v>251</v>
      </c>
      <c r="B6" s="192" t="s">
        <v>126</v>
      </c>
      <c r="C6" s="192" t="s">
        <v>213</v>
      </c>
      <c r="D6" s="28" t="s">
        <v>252</v>
      </c>
      <c r="E6" s="194" t="s">
        <v>254</v>
      </c>
      <c r="F6" s="193">
        <v>1510.0</v>
      </c>
      <c r="G6" s="192" t="s">
        <v>132</v>
      </c>
      <c r="H6" s="192" t="s">
        <v>123</v>
      </c>
    </row>
    <row r="7">
      <c r="A7" s="16" t="s">
        <v>66</v>
      </c>
      <c r="B7" s="192" t="s">
        <v>126</v>
      </c>
      <c r="C7" s="192" t="s">
        <v>223</v>
      </c>
      <c r="D7" s="195" t="s">
        <v>256</v>
      </c>
      <c r="E7" s="192" t="s">
        <v>219</v>
      </c>
      <c r="F7" s="196">
        <v>87708.6</v>
      </c>
      <c r="G7" s="192" t="s">
        <v>132</v>
      </c>
      <c r="H7" s="192" t="s">
        <v>123</v>
      </c>
    </row>
    <row r="8">
      <c r="A8" s="16" t="s">
        <v>56</v>
      </c>
      <c r="B8" s="191" t="s">
        <v>126</v>
      </c>
      <c r="C8" s="192" t="s">
        <v>213</v>
      </c>
      <c r="D8" s="195" t="s">
        <v>262</v>
      </c>
      <c r="E8" s="194" t="s">
        <v>254</v>
      </c>
      <c r="F8" s="193">
        <v>24197.79</v>
      </c>
      <c r="G8" s="192" t="s">
        <v>132</v>
      </c>
      <c r="H8" s="192" t="s">
        <v>123</v>
      </c>
    </row>
    <row r="9">
      <c r="A9" s="16" t="s">
        <v>275</v>
      </c>
      <c r="B9" s="191" t="s">
        <v>135</v>
      </c>
      <c r="C9" s="192" t="s">
        <v>223</v>
      </c>
      <c r="D9" s="28" t="s">
        <v>276</v>
      </c>
      <c r="E9" s="192" t="s">
        <v>214</v>
      </c>
      <c r="F9" s="196">
        <v>97443.9</v>
      </c>
      <c r="G9" s="191" t="s">
        <v>132</v>
      </c>
      <c r="H9" s="192" t="s">
        <v>128</v>
      </c>
    </row>
    <row r="10">
      <c r="A10" s="197" t="s">
        <v>80</v>
      </c>
      <c r="B10" s="192" t="s">
        <v>126</v>
      </c>
      <c r="C10" s="191" t="s">
        <v>296</v>
      </c>
      <c r="D10" s="28" t="s">
        <v>294</v>
      </c>
      <c r="E10" s="192" t="s">
        <v>214</v>
      </c>
      <c r="F10" s="196">
        <v>103016.0</v>
      </c>
      <c r="G10" s="191" t="s">
        <v>132</v>
      </c>
      <c r="H10" s="191" t="s">
        <v>128</v>
      </c>
    </row>
    <row r="11">
      <c r="A11" s="16" t="s">
        <v>15</v>
      </c>
      <c r="B11" s="192" t="s">
        <v>126</v>
      </c>
      <c r="C11" s="192" t="s">
        <v>213</v>
      </c>
      <c r="D11" s="198" t="s">
        <v>304</v>
      </c>
      <c r="E11" s="192" t="s">
        <v>305</v>
      </c>
      <c r="F11" s="193">
        <v>1000.0</v>
      </c>
      <c r="G11" s="191" t="s">
        <v>122</v>
      </c>
      <c r="H11" s="192" t="s">
        <v>123</v>
      </c>
    </row>
    <row r="12">
      <c r="A12" s="199" t="s">
        <v>306</v>
      </c>
      <c r="B12" s="191" t="s">
        <v>126</v>
      </c>
      <c r="C12" s="191" t="s">
        <v>296</v>
      </c>
      <c r="D12" s="28" t="s">
        <v>307</v>
      </c>
      <c r="E12" s="192" t="s">
        <v>214</v>
      </c>
      <c r="F12" s="196">
        <v>450.0</v>
      </c>
      <c r="G12" s="191" t="s">
        <v>122</v>
      </c>
      <c r="H12" s="192" t="s">
        <v>123</v>
      </c>
    </row>
    <row r="13">
      <c r="A13" s="1" t="s">
        <v>309</v>
      </c>
      <c r="B13" s="200" t="s">
        <v>135</v>
      </c>
      <c r="C13" s="200" t="s">
        <v>296</v>
      </c>
      <c r="D13" s="1" t="s">
        <v>310</v>
      </c>
      <c r="E13" s="201" t="s">
        <v>312</v>
      </c>
      <c r="F13" s="202" t="s">
        <v>215</v>
      </c>
      <c r="G13" s="200" t="s">
        <v>132</v>
      </c>
      <c r="H13" s="201" t="s">
        <v>123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16" t="s">
        <v>17</v>
      </c>
      <c r="B14" s="191" t="s">
        <v>126</v>
      </c>
      <c r="C14" s="192" t="s">
        <v>213</v>
      </c>
      <c r="D14" s="28" t="s">
        <v>314</v>
      </c>
      <c r="E14" s="192" t="s">
        <v>214</v>
      </c>
      <c r="F14" s="193">
        <v>9500.0</v>
      </c>
      <c r="G14" s="191" t="s">
        <v>132</v>
      </c>
      <c r="H14" s="192" t="s">
        <v>123</v>
      </c>
    </row>
    <row r="15">
      <c r="A15" s="16" t="s">
        <v>19</v>
      </c>
      <c r="B15" s="191" t="s">
        <v>126</v>
      </c>
      <c r="C15" s="192" t="s">
        <v>324</v>
      </c>
      <c r="D15" s="28" t="s">
        <v>322</v>
      </c>
      <c r="E15" s="192" t="s">
        <v>130</v>
      </c>
      <c r="F15" s="193">
        <v>58147.0</v>
      </c>
      <c r="G15" s="191" t="s">
        <v>127</v>
      </c>
      <c r="H15" s="192" t="s">
        <v>128</v>
      </c>
    </row>
    <row r="16">
      <c r="A16" s="203" t="s">
        <v>29</v>
      </c>
      <c r="B16" s="191" t="s">
        <v>126</v>
      </c>
      <c r="C16" s="192" t="s">
        <v>213</v>
      </c>
      <c r="D16" s="28" t="s">
        <v>331</v>
      </c>
      <c r="E16" s="192" t="s">
        <v>214</v>
      </c>
      <c r="F16" s="193">
        <v>500.0</v>
      </c>
      <c r="G16" s="191" t="s">
        <v>132</v>
      </c>
      <c r="H16" s="192" t="s">
        <v>123</v>
      </c>
    </row>
    <row r="17">
      <c r="A17" s="204" t="s">
        <v>308</v>
      </c>
      <c r="B17" s="191" t="s">
        <v>126</v>
      </c>
      <c r="C17" s="192" t="s">
        <v>213</v>
      </c>
      <c r="D17" s="205" t="s">
        <v>332</v>
      </c>
      <c r="E17" s="192" t="s">
        <v>214</v>
      </c>
      <c r="F17" s="193">
        <v>800.0</v>
      </c>
      <c r="G17" s="191" t="s">
        <v>132</v>
      </c>
      <c r="H17" s="192" t="s">
        <v>123</v>
      </c>
    </row>
    <row r="18">
      <c r="A18" s="206" t="s">
        <v>58</v>
      </c>
      <c r="B18" s="191" t="s">
        <v>126</v>
      </c>
      <c r="C18" s="191" t="s">
        <v>296</v>
      </c>
      <c r="D18" s="28" t="s">
        <v>334</v>
      </c>
      <c r="E18" s="192" t="s">
        <v>214</v>
      </c>
      <c r="F18" s="193">
        <v>100.0</v>
      </c>
      <c r="G18" s="191" t="s">
        <v>132</v>
      </c>
      <c r="H18" s="192" t="s">
        <v>123</v>
      </c>
    </row>
    <row r="19">
      <c r="A19" s="2" t="s">
        <v>87</v>
      </c>
      <c r="B19" s="200" t="s">
        <v>126</v>
      </c>
      <c r="C19" s="200" t="s">
        <v>296</v>
      </c>
      <c r="D19" s="1" t="s">
        <v>337</v>
      </c>
      <c r="E19" s="201" t="s">
        <v>214</v>
      </c>
      <c r="F19" s="202" t="s">
        <v>215</v>
      </c>
      <c r="G19" s="200" t="s">
        <v>132</v>
      </c>
      <c r="H19" s="201" t="s">
        <v>123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16" t="s">
        <v>89</v>
      </c>
      <c r="B20" s="191" t="s">
        <v>126</v>
      </c>
      <c r="C20" s="192" t="s">
        <v>213</v>
      </c>
      <c r="D20" s="207" t="s">
        <v>344</v>
      </c>
      <c r="E20" s="192" t="s">
        <v>346</v>
      </c>
      <c r="F20" s="193">
        <v>71450.0</v>
      </c>
      <c r="G20" s="191" t="s">
        <v>132</v>
      </c>
      <c r="H20" s="192" t="s">
        <v>123</v>
      </c>
    </row>
    <row r="21">
      <c r="A21" s="208" t="s">
        <v>91</v>
      </c>
      <c r="B21" s="191" t="s">
        <v>126</v>
      </c>
      <c r="C21" s="191" t="s">
        <v>296</v>
      </c>
      <c r="D21" s="28" t="s">
        <v>350</v>
      </c>
      <c r="E21" s="192" t="s">
        <v>352</v>
      </c>
      <c r="F21" s="209">
        <v>950.0</v>
      </c>
      <c r="G21" s="191" t="s">
        <v>132</v>
      </c>
      <c r="H21" s="192" t="s">
        <v>123</v>
      </c>
    </row>
    <row r="22">
      <c r="A22" s="210" t="s">
        <v>100</v>
      </c>
      <c r="B22" s="191" t="s">
        <v>126</v>
      </c>
      <c r="C22" s="192" t="s">
        <v>360</v>
      </c>
      <c r="D22" s="28" t="s">
        <v>358</v>
      </c>
      <c r="E22" s="192" t="s">
        <v>130</v>
      </c>
      <c r="F22" s="27">
        <v>76980.0</v>
      </c>
      <c r="G22" s="191" t="s">
        <v>127</v>
      </c>
      <c r="H22" s="192" t="s">
        <v>128</v>
      </c>
    </row>
    <row r="23">
      <c r="A23" s="210" t="s">
        <v>98</v>
      </c>
      <c r="B23" s="211" t="s">
        <v>126</v>
      </c>
      <c r="C23" s="192" t="s">
        <v>360</v>
      </c>
      <c r="E23" s="192" t="s">
        <v>130</v>
      </c>
      <c r="F23" s="27">
        <v>41355.0</v>
      </c>
      <c r="G23" s="191" t="s">
        <v>127</v>
      </c>
      <c r="H23" s="192" t="s">
        <v>128</v>
      </c>
    </row>
    <row r="24">
      <c r="A24" s="212" t="s">
        <v>49</v>
      </c>
      <c r="B24" s="192" t="s">
        <v>131</v>
      </c>
      <c r="C24" s="192" t="s">
        <v>223</v>
      </c>
      <c r="D24" s="194" t="s">
        <v>225</v>
      </c>
      <c r="E24" s="192" t="s">
        <v>214</v>
      </c>
      <c r="F24" s="209">
        <v>8776.0</v>
      </c>
      <c r="G24" s="192" t="s">
        <v>132</v>
      </c>
      <c r="H24" s="192" t="s">
        <v>128</v>
      </c>
    </row>
    <row r="25">
      <c r="A25" s="212" t="s">
        <v>74</v>
      </c>
      <c r="B25" s="191" t="s">
        <v>131</v>
      </c>
      <c r="C25" s="192" t="s">
        <v>405</v>
      </c>
      <c r="D25" s="194" t="s">
        <v>276</v>
      </c>
      <c r="E25" s="192" t="s">
        <v>214</v>
      </c>
      <c r="F25" s="213">
        <v>5182.0</v>
      </c>
      <c r="G25" s="191" t="s">
        <v>132</v>
      </c>
      <c r="H25" s="192" t="s">
        <v>128</v>
      </c>
    </row>
    <row r="26">
      <c r="A26" s="212" t="s">
        <v>78</v>
      </c>
      <c r="B26" s="191" t="s">
        <v>131</v>
      </c>
      <c r="C26" s="192" t="s">
        <v>405</v>
      </c>
      <c r="D26" s="194" t="s">
        <v>406</v>
      </c>
      <c r="E26" s="194" t="s">
        <v>408</v>
      </c>
      <c r="F26" s="193">
        <v>1508.0</v>
      </c>
      <c r="G26" s="191" t="s">
        <v>132</v>
      </c>
      <c r="H26" s="192" t="s">
        <v>123</v>
      </c>
    </row>
    <row r="27">
      <c r="A27" s="212" t="s">
        <v>85</v>
      </c>
      <c r="B27" s="191" t="s">
        <v>131</v>
      </c>
      <c r="C27" s="192" t="s">
        <v>405</v>
      </c>
      <c r="D27" s="194" t="s">
        <v>411</v>
      </c>
      <c r="E27" s="192" t="s">
        <v>214</v>
      </c>
      <c r="F27" s="214">
        <v>6310.5</v>
      </c>
      <c r="G27" s="191" t="s">
        <v>132</v>
      </c>
      <c r="H27" s="192" t="s">
        <v>123</v>
      </c>
    </row>
    <row r="28">
      <c r="A28" s="212" t="s">
        <v>21</v>
      </c>
      <c r="B28" s="191" t="s">
        <v>131</v>
      </c>
      <c r="C28" s="192" t="s">
        <v>296</v>
      </c>
      <c r="D28" s="194" t="s">
        <v>413</v>
      </c>
      <c r="E28" s="192" t="s">
        <v>214</v>
      </c>
      <c r="F28" s="193">
        <v>6388.28</v>
      </c>
      <c r="G28" s="191" t="s">
        <v>122</v>
      </c>
      <c r="H28" s="192" t="s">
        <v>123</v>
      </c>
    </row>
    <row r="29">
      <c r="A29" s="212" t="s">
        <v>23</v>
      </c>
      <c r="B29" s="191" t="s">
        <v>131</v>
      </c>
      <c r="C29" s="192" t="s">
        <v>405</v>
      </c>
      <c r="D29" s="194" t="s">
        <v>417</v>
      </c>
      <c r="E29" s="192" t="s">
        <v>214</v>
      </c>
      <c r="F29" s="193">
        <v>2600.0</v>
      </c>
      <c r="G29" s="191" t="s">
        <v>122</v>
      </c>
      <c r="H29" s="192" t="s">
        <v>123</v>
      </c>
    </row>
    <row r="30">
      <c r="A30" s="212" t="s">
        <v>35</v>
      </c>
      <c r="B30" s="215" t="s">
        <v>131</v>
      </c>
      <c r="C30" s="192" t="s">
        <v>405</v>
      </c>
      <c r="D30" s="194" t="s">
        <v>423</v>
      </c>
      <c r="E30" s="191" t="s">
        <v>214</v>
      </c>
      <c r="F30" s="216">
        <v>3600.0</v>
      </c>
      <c r="G30" s="191" t="s">
        <v>122</v>
      </c>
      <c r="H30" s="192" t="s">
        <v>425</v>
      </c>
    </row>
    <row r="31">
      <c r="A31" s="217" t="s">
        <v>13</v>
      </c>
      <c r="B31" s="200" t="s">
        <v>126</v>
      </c>
      <c r="C31" s="200" t="s">
        <v>296</v>
      </c>
      <c r="D31" s="217" t="s">
        <v>310</v>
      </c>
      <c r="E31" s="217" t="s">
        <v>408</v>
      </c>
      <c r="F31" s="218" t="s">
        <v>215</v>
      </c>
      <c r="G31" s="219" t="s">
        <v>122</v>
      </c>
      <c r="H31" s="201" t="s">
        <v>123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>
      <c r="A32" s="212" t="s">
        <v>31</v>
      </c>
      <c r="B32" s="191" t="s">
        <v>131</v>
      </c>
      <c r="C32" s="191" t="s">
        <v>296</v>
      </c>
      <c r="D32" s="220" t="s">
        <v>428</v>
      </c>
      <c r="E32" s="192" t="s">
        <v>214</v>
      </c>
      <c r="F32" s="193">
        <v>530.0</v>
      </c>
      <c r="G32" s="191" t="s">
        <v>132</v>
      </c>
      <c r="H32" s="192" t="s">
        <v>123</v>
      </c>
    </row>
    <row r="33">
      <c r="A33" s="212" t="s">
        <v>432</v>
      </c>
      <c r="B33" s="191" t="s">
        <v>131</v>
      </c>
      <c r="C33" s="192" t="s">
        <v>296</v>
      </c>
      <c r="D33" s="194" t="s">
        <v>433</v>
      </c>
      <c r="E33" s="192" t="s">
        <v>214</v>
      </c>
      <c r="F33" s="193">
        <v>1350.0</v>
      </c>
      <c r="G33" s="191" t="s">
        <v>132</v>
      </c>
      <c r="H33" s="192" t="s">
        <v>123</v>
      </c>
    </row>
    <row r="34">
      <c r="A34" s="221" t="s">
        <v>449</v>
      </c>
      <c r="B34" s="192" t="s">
        <v>121</v>
      </c>
      <c r="C34" s="192" t="s">
        <v>124</v>
      </c>
      <c r="D34" s="222" t="s">
        <v>450</v>
      </c>
      <c r="E34" s="192" t="s">
        <v>214</v>
      </c>
      <c r="F34" s="193">
        <v>70880.0</v>
      </c>
      <c r="G34" s="192" t="s">
        <v>132</v>
      </c>
      <c r="H34" s="192" t="s">
        <v>128</v>
      </c>
    </row>
    <row r="35">
      <c r="A35" s="221" t="s">
        <v>452</v>
      </c>
      <c r="B35" s="192" t="s">
        <v>121</v>
      </c>
      <c r="C35" s="192" t="s">
        <v>405</v>
      </c>
      <c r="D35" s="194" t="s">
        <v>453</v>
      </c>
      <c r="E35" s="194" t="s">
        <v>254</v>
      </c>
      <c r="F35" s="193">
        <v>10398.0</v>
      </c>
      <c r="G35" s="192" t="s">
        <v>132</v>
      </c>
      <c r="H35" s="192" t="s">
        <v>128</v>
      </c>
    </row>
    <row r="36">
      <c r="A36" s="217" t="s">
        <v>459</v>
      </c>
      <c r="B36" s="201" t="s">
        <v>121</v>
      </c>
      <c r="C36" s="201" t="s">
        <v>124</v>
      </c>
      <c r="D36" s="217" t="s">
        <v>460</v>
      </c>
      <c r="E36" s="201" t="s">
        <v>130</v>
      </c>
      <c r="F36" s="202" t="s">
        <v>215</v>
      </c>
      <c r="G36" s="201" t="s">
        <v>127</v>
      </c>
      <c r="H36" s="201" t="s">
        <v>128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>
      <c r="A37" s="201" t="s">
        <v>95</v>
      </c>
      <c r="B37" s="201" t="s">
        <v>121</v>
      </c>
      <c r="C37" s="201" t="s">
        <v>124</v>
      </c>
      <c r="D37" s="217" t="s">
        <v>462</v>
      </c>
      <c r="E37" s="201" t="s">
        <v>130</v>
      </c>
      <c r="F37" s="202" t="s">
        <v>215</v>
      </c>
      <c r="G37" s="201" t="s">
        <v>127</v>
      </c>
      <c r="H37" s="201" t="s">
        <v>128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>
      <c r="A38" s="223" t="s">
        <v>82</v>
      </c>
      <c r="B38" s="192" t="s">
        <v>121</v>
      </c>
      <c r="C38" s="192" t="s">
        <v>405</v>
      </c>
      <c r="D38" s="194" t="s">
        <v>463</v>
      </c>
      <c r="E38" s="192" t="s">
        <v>130</v>
      </c>
      <c r="F38" s="209">
        <v>3300.0</v>
      </c>
      <c r="G38" s="192" t="s">
        <v>127</v>
      </c>
      <c r="H38" s="192" t="s">
        <v>128</v>
      </c>
    </row>
    <row r="39">
      <c r="A39" s="223" t="s">
        <v>466</v>
      </c>
      <c r="B39" s="192" t="s">
        <v>121</v>
      </c>
      <c r="C39" s="192" t="s">
        <v>468</v>
      </c>
      <c r="D39" s="194" t="s">
        <v>467</v>
      </c>
      <c r="E39" s="192" t="s">
        <v>469</v>
      </c>
      <c r="F39" s="209">
        <v>1200.0</v>
      </c>
      <c r="G39" s="192" t="s">
        <v>132</v>
      </c>
      <c r="H39" s="192" t="s">
        <v>128</v>
      </c>
    </row>
    <row r="40">
      <c r="A40" s="217" t="s">
        <v>493</v>
      </c>
      <c r="B40" s="201" t="s">
        <v>138</v>
      </c>
      <c r="C40" s="201" t="s">
        <v>360</v>
      </c>
      <c r="D40" s="217" t="s">
        <v>494</v>
      </c>
      <c r="E40" s="217" t="s">
        <v>496</v>
      </c>
      <c r="F40" s="202" t="s">
        <v>215</v>
      </c>
      <c r="G40" s="201" t="s">
        <v>132</v>
      </c>
      <c r="H40" s="201" t="s">
        <v>123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>
      <c r="A41" s="217" t="s">
        <v>11</v>
      </c>
      <c r="B41" s="201" t="s">
        <v>138</v>
      </c>
      <c r="C41" s="201" t="s">
        <v>296</v>
      </c>
      <c r="D41" s="224" t="s">
        <v>498</v>
      </c>
      <c r="E41" s="217" t="s">
        <v>496</v>
      </c>
      <c r="F41" s="202" t="s">
        <v>215</v>
      </c>
      <c r="G41" s="200" t="s">
        <v>122</v>
      </c>
      <c r="H41" s="200" t="s">
        <v>123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>
      <c r="A42" s="225" t="s">
        <v>60</v>
      </c>
      <c r="B42" s="192" t="s">
        <v>138</v>
      </c>
      <c r="C42" s="192" t="s">
        <v>405</v>
      </c>
      <c r="D42" s="194" t="s">
        <v>500</v>
      </c>
      <c r="E42" s="194" t="s">
        <v>502</v>
      </c>
      <c r="F42" s="193">
        <v>192.3</v>
      </c>
      <c r="G42" s="192" t="s">
        <v>132</v>
      </c>
      <c r="H42" s="192" t="s">
        <v>128</v>
      </c>
    </row>
    <row r="43">
      <c r="A43" s="217" t="s">
        <v>70</v>
      </c>
      <c r="B43" s="201" t="s">
        <v>138</v>
      </c>
      <c r="C43" s="201" t="s">
        <v>405</v>
      </c>
      <c r="D43" s="217" t="s">
        <v>503</v>
      </c>
      <c r="E43" s="217" t="s">
        <v>502</v>
      </c>
      <c r="F43" s="202" t="s">
        <v>215</v>
      </c>
      <c r="G43" s="200" t="s">
        <v>132</v>
      </c>
      <c r="H43" s="201" t="s">
        <v>123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>
      <c r="A44" s="217" t="s">
        <v>72</v>
      </c>
      <c r="B44" s="201" t="s">
        <v>136</v>
      </c>
      <c r="C44" s="201" t="s">
        <v>296</v>
      </c>
      <c r="D44" s="217" t="s">
        <v>506</v>
      </c>
      <c r="E44" s="226" t="s">
        <v>508</v>
      </c>
      <c r="F44" s="202" t="s">
        <v>215</v>
      </c>
      <c r="G44" s="200" t="s">
        <v>132</v>
      </c>
      <c r="H44" s="200" t="s">
        <v>123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>
      <c r="A45" s="225" t="s">
        <v>76</v>
      </c>
      <c r="B45" s="192" t="s">
        <v>136</v>
      </c>
      <c r="C45" s="192" t="s">
        <v>296</v>
      </c>
      <c r="D45" s="194" t="s">
        <v>511</v>
      </c>
      <c r="E45" s="227" t="s">
        <v>513</v>
      </c>
      <c r="F45" s="193">
        <v>38923.27</v>
      </c>
      <c r="G45" s="215" t="s">
        <v>127</v>
      </c>
      <c r="H45" s="192" t="s">
        <v>123</v>
      </c>
    </row>
    <row r="46">
      <c r="A46" s="228" t="s">
        <v>47</v>
      </c>
      <c r="B46" s="192" t="s">
        <v>138</v>
      </c>
      <c r="C46" s="192" t="s">
        <v>405</v>
      </c>
      <c r="D46" s="229" t="s">
        <v>515</v>
      </c>
      <c r="E46" s="230" t="s">
        <v>508</v>
      </c>
      <c r="F46" s="193">
        <v>154370.0</v>
      </c>
      <c r="G46" s="191" t="s">
        <v>132</v>
      </c>
      <c r="H46" s="192" t="s">
        <v>128</v>
      </c>
    </row>
    <row r="47">
      <c r="A47" s="228" t="s">
        <v>25</v>
      </c>
      <c r="B47" s="192" t="s">
        <v>136</v>
      </c>
      <c r="C47" s="192" t="s">
        <v>296</v>
      </c>
      <c r="D47" s="231" t="s">
        <v>524</v>
      </c>
      <c r="E47" s="194" t="s">
        <v>502</v>
      </c>
      <c r="F47" s="193">
        <v>18500.0</v>
      </c>
      <c r="G47" s="191" t="s">
        <v>132</v>
      </c>
      <c r="H47" s="192" t="s">
        <v>123</v>
      </c>
    </row>
    <row r="48">
      <c r="A48" s="228" t="s">
        <v>33</v>
      </c>
      <c r="B48" s="192" t="s">
        <v>136</v>
      </c>
      <c r="C48" s="192" t="s">
        <v>296</v>
      </c>
      <c r="D48" s="229" t="s">
        <v>528</v>
      </c>
      <c r="E48" s="194" t="s">
        <v>496</v>
      </c>
      <c r="F48" s="216">
        <v>4750.0</v>
      </c>
      <c r="G48" s="191" t="s">
        <v>132</v>
      </c>
      <c r="H48" s="192" t="s">
        <v>123</v>
      </c>
    </row>
    <row r="49">
      <c r="A49" s="225" t="s">
        <v>535</v>
      </c>
      <c r="B49" s="192" t="s">
        <v>138</v>
      </c>
      <c r="C49" s="192" t="s">
        <v>296</v>
      </c>
      <c r="D49" s="229" t="s">
        <v>536</v>
      </c>
      <c r="E49" s="194" t="s">
        <v>502</v>
      </c>
      <c r="F49" s="232">
        <f>76343.2*2</f>
        <v>152686.4</v>
      </c>
      <c r="G49" s="191" t="s">
        <v>132</v>
      </c>
      <c r="H49" s="192" t="s">
        <v>123</v>
      </c>
    </row>
    <row r="50">
      <c r="A50" s="201" t="s">
        <v>43</v>
      </c>
      <c r="B50" s="201" t="s">
        <v>138</v>
      </c>
      <c r="C50" s="201" t="s">
        <v>296</v>
      </c>
      <c r="D50" s="217" t="s">
        <v>540</v>
      </c>
      <c r="E50" s="226" t="s">
        <v>508</v>
      </c>
      <c r="F50" s="202" t="s">
        <v>215</v>
      </c>
      <c r="G50" s="200" t="s">
        <v>132</v>
      </c>
      <c r="H50" s="201" t="s">
        <v>123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>
      <c r="A51" s="228" t="s">
        <v>52</v>
      </c>
      <c r="B51" s="192" t="s">
        <v>138</v>
      </c>
      <c r="C51" s="192" t="s">
        <v>360</v>
      </c>
      <c r="D51" s="194" t="s">
        <v>541</v>
      </c>
      <c r="E51" s="192" t="s">
        <v>130</v>
      </c>
      <c r="F51" s="193">
        <v>16646.0</v>
      </c>
      <c r="G51" s="191" t="s">
        <v>132</v>
      </c>
      <c r="H51" s="192" t="s">
        <v>128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">
      <c r="B2" s="27" t="s">
        <v>1684</v>
      </c>
    </row>
  </sheetData>
  <drawing r:id="rId1"/>
</worksheet>
</file>